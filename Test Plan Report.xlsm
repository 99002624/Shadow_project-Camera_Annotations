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mc:AlternateContent xmlns:mc="http://schemas.openxmlformats.org/markup-compatibility/2006">
    <mc:Choice Requires="x15">
      <x15ac:absPath xmlns:x15ac="http://schemas.microsoft.com/office/spreadsheetml/2010/11/ac" url="C:\Users\99002442\Downloads\"/>
    </mc:Choice>
  </mc:AlternateContent>
  <bookViews>
    <workbookView xWindow="-120" yWindow="-120" windowWidth="19440" windowHeight="15000" tabRatio="842" activeTab="3"/>
  </bookViews>
  <sheets>
    <sheet name="Cover Sheet" sheetId="1" r:id="rId1"/>
    <sheet name="Test Plan &amp; Results Summary" sheetId="9" r:id="rId2"/>
    <sheet name="Decision table" sheetId="6" r:id="rId3"/>
    <sheet name="SystemTest Plan &amp; Test Results" sheetId="4" r:id="rId4"/>
    <sheet name="Bug Report" sheetId="7" r:id="rId5"/>
    <sheet name="Annexure for STP &amp; TR" sheetId="5" r:id="rId6"/>
    <sheet name=" Annexure for Bug Report" sheetId="8" r:id="rId7"/>
  </sheets>
  <definedNames>
    <definedName name="_Toc37752622" localSheetId="3">'SystemTest Plan &amp; Test Results'!$E$14</definedName>
    <definedName name="_Toc37752624" localSheetId="3">'SystemTest Plan &amp; Test Results'!#REF!</definedName>
    <definedName name="_Toc37752626" localSheetId="3">'SystemTest Plan &amp; Test Results'!$E$15</definedName>
    <definedName name="_Toc37752628" localSheetId="3">'SystemTest Plan &amp; Test Results'!$E$17</definedName>
    <definedName name="_Toc56668862" localSheetId="3">'SystemTest Plan &amp; Test Results'!$E$17</definedName>
    <definedName name="_xlnm.Print_Area" localSheetId="6">' Annexure for Bug Report'!$A$1:$C$76</definedName>
    <definedName name="_xlnm.Print_Area" localSheetId="5">'Annexure for STP &amp; TR'!$A$1:$C$43</definedName>
    <definedName name="_xlnm.Print_Area" localSheetId="4">'Bug Report'!$A$1:$R$17</definedName>
    <definedName name="_xlnm.Print_Area" localSheetId="0">'Cover Sheet'!$A$1:$H$26</definedName>
    <definedName name="_xlnm.Print_Area" localSheetId="2">'Decision table'!$A$1:$N$22</definedName>
  </definedNames>
  <calcPr calcId="171027"/>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1" l="1"/>
  <c r="D2" i="4" l="1"/>
  <c r="F2" i="7" l="1"/>
  <c r="B2" i="7"/>
  <c r="A43" i="5"/>
  <c r="C27" i="9"/>
</calcChain>
</file>

<file path=xl/comments1.xml><?xml version="1.0" encoding="utf-8"?>
<comments xmlns="http://schemas.openxmlformats.org/spreadsheetml/2006/main">
  <authors>
    <author>Jayashree G</author>
  </authors>
  <commentList>
    <comment ref="A2" authorId="0" shapeId="0">
      <text>
        <r>
          <rPr>
            <b/>
            <sz val="9"/>
            <color indexed="81"/>
            <rFont val="Tahoma"/>
            <family val="2"/>
          </rPr>
          <t>Indicate the Project ID allocated by SQA</t>
        </r>
        <r>
          <rPr>
            <sz val="9"/>
            <color indexed="81"/>
            <rFont val="Tahoma"/>
            <family val="2"/>
          </rPr>
          <t xml:space="preserve">
</t>
        </r>
      </text>
    </comment>
    <comment ref="D2" authorId="0" shapeId="0">
      <text>
        <r>
          <rPr>
            <b/>
            <sz val="9"/>
            <color indexed="81"/>
            <rFont val="Tahoma"/>
            <family val="2"/>
          </rPr>
          <t>Indicate the name of the project</t>
        </r>
      </text>
    </comment>
    <comment ref="A3" authorId="0" shapeId="0">
      <text>
        <r>
          <rPr>
            <b/>
            <sz val="9"/>
            <color indexed="81"/>
            <rFont val="Tahoma"/>
            <family val="2"/>
          </rPr>
          <t>Indicate the reference documetns used to prepare / updaste test plan</t>
        </r>
      </text>
    </comment>
    <comment ref="B4" authorId="0" shapeId="0">
      <text>
        <r>
          <rPr>
            <b/>
            <sz val="9"/>
            <color indexed="81"/>
            <rFont val="Tahoma"/>
            <family val="2"/>
          </rPr>
          <t>Indicate the ID of the document used to prepare/update test plan (if any).</t>
        </r>
        <r>
          <rPr>
            <sz val="9"/>
            <color indexed="81"/>
            <rFont val="Tahoma"/>
            <family val="2"/>
          </rPr>
          <t xml:space="preserve">
</t>
        </r>
      </text>
    </comment>
    <comment ref="D4" authorId="0" shapeId="0">
      <text>
        <r>
          <rPr>
            <b/>
            <sz val="9"/>
            <color indexed="81"/>
            <rFont val="Tahoma"/>
            <family val="2"/>
          </rPr>
          <t>Indicate the name of the document used to prepare/update test plan.</t>
        </r>
        <r>
          <rPr>
            <sz val="9"/>
            <color indexed="81"/>
            <rFont val="Tahoma"/>
            <family val="2"/>
          </rPr>
          <t xml:space="preserve">
</t>
        </r>
      </text>
    </comment>
    <comment ref="A9" authorId="0" shapeId="0">
      <text>
        <r>
          <rPr>
            <b/>
            <sz val="9"/>
            <color indexed="81"/>
            <rFont val="Tahoma"/>
            <family val="2"/>
          </rPr>
          <t>Indicate the test equipments /tools used for performing the system testing along with their version /configuration details</t>
        </r>
      </text>
    </comment>
    <comment ref="B10" authorId="0" shapeId="0">
      <text>
        <r>
          <rPr>
            <b/>
            <sz val="9"/>
            <color indexed="81"/>
            <rFont val="Tahoma"/>
            <family val="2"/>
          </rPr>
          <t>Indicate the Tool name with a brief Description on it's usage
E.g. Multimeter for measuring Voltage</t>
        </r>
        <r>
          <rPr>
            <sz val="9"/>
            <color indexed="81"/>
            <rFont val="Tahoma"/>
            <family val="2"/>
          </rPr>
          <t xml:space="preserve">
</t>
        </r>
      </text>
    </comment>
    <comment ref="E10" authorId="0" shapeId="0">
      <text>
        <r>
          <rPr>
            <b/>
            <sz val="9"/>
            <color indexed="81"/>
            <rFont val="Tahoma"/>
            <family val="2"/>
          </rPr>
          <t>Indicate the Configuration of the Hardware tool to be used
E.g. Range (0-30 V)</t>
        </r>
      </text>
    </comment>
    <comment ref="A15" authorId="0" shapeId="0">
      <text>
        <r>
          <rPr>
            <b/>
            <sz val="9"/>
            <color indexed="81"/>
            <rFont val="Tahoma"/>
            <family val="2"/>
          </rPr>
          <t>Indicate the test equipments/tools used for performing testing along with their version/configuration details.</t>
        </r>
      </text>
    </comment>
    <comment ref="B16" authorId="0" shapeId="0">
      <text>
        <r>
          <rPr>
            <b/>
            <sz val="9"/>
            <color indexed="81"/>
            <rFont val="Tahoma"/>
            <family val="2"/>
          </rPr>
          <t>Indicate the name of the Software tool with a brief Description on it's usage</t>
        </r>
        <r>
          <rPr>
            <sz val="9"/>
            <color indexed="81"/>
            <rFont val="Tahoma"/>
            <family val="2"/>
          </rPr>
          <t xml:space="preserve">
</t>
        </r>
      </text>
    </comment>
    <comment ref="C22" authorId="0" shapeId="0">
      <text>
        <r>
          <rPr>
            <b/>
            <sz val="9"/>
            <color indexed="81"/>
            <rFont val="Tahoma"/>
            <family val="2"/>
          </rPr>
          <t>Indicate the no. of test cases passed in each iteration.</t>
        </r>
      </text>
    </comment>
    <comment ref="D22" authorId="0" shapeId="0">
      <text>
        <r>
          <rPr>
            <b/>
            <sz val="9"/>
            <color indexed="81"/>
            <rFont val="Tahoma"/>
            <family val="2"/>
          </rPr>
          <t>Indicate the no. of test cases failed in each iteration.</t>
        </r>
      </text>
    </comment>
    <comment ref="E22" authorId="0" shapeId="0">
      <text>
        <r>
          <rPr>
            <b/>
            <sz val="9"/>
            <color indexed="81"/>
            <rFont val="Tahoma"/>
            <family val="2"/>
          </rPr>
          <t>Indicate the no. of test cases which were not executed in each iteration.</t>
        </r>
      </text>
    </comment>
    <comment ref="A28" authorId="0" shapeId="0">
      <text>
        <r>
          <rPr>
            <b/>
            <sz val="9"/>
            <color indexed="81"/>
            <rFont val="Tahoma"/>
            <family val="2"/>
          </rPr>
          <t xml:space="preserve">Indicate the limitations/ deficiencies/risks expected  in the performance of this module after taking into consideration the inferences drawn from the actual test results analysis.
</t>
        </r>
      </text>
    </comment>
    <comment ref="A29" authorId="0" shapeId="0">
      <text>
        <r>
          <rPr>
            <b/>
            <sz val="9"/>
            <color indexed="81"/>
            <rFont val="Tahoma"/>
            <family val="2"/>
          </rPr>
          <t>Take into account the inferences drawn out of the test results as explained above, limitations, deficiencies and risks perceived before arriving at the conclusion on the acceptance or rejection of the work  product under test.</t>
        </r>
        <r>
          <rPr>
            <sz val="9"/>
            <color indexed="81"/>
            <rFont val="Tahoma"/>
            <family val="2"/>
          </rPr>
          <t xml:space="preserve">
</t>
        </r>
      </text>
    </comment>
  </commentList>
</comments>
</file>

<file path=xl/comments2.xml><?xml version="1.0" encoding="utf-8"?>
<comments xmlns="http://schemas.openxmlformats.org/spreadsheetml/2006/main">
  <authors>
    <author>Pooja Mathur</author>
    <author xml:space="preserve">    </author>
  </authors>
  <commentList>
    <comment ref="A4" authorId="0" shapeId="0">
      <text>
        <r>
          <rPr>
            <b/>
            <sz val="9"/>
            <color indexed="81"/>
            <rFont val="Tahoma"/>
            <family val="2"/>
          </rPr>
          <t>indicate the requirement ID as specified in the RTT</t>
        </r>
      </text>
    </comment>
    <comment ref="D4" authorId="1" shapeId="0">
      <text>
        <r>
          <rPr>
            <b/>
            <sz val="9"/>
            <color indexed="81"/>
            <rFont val="Tahoma"/>
            <family val="2"/>
          </rPr>
          <t xml:space="preserve"> List all the  input data conditions connected to this requirement</t>
        </r>
      </text>
    </comment>
    <comment ref="E4" authorId="1" shapeId="0">
      <text>
        <r>
          <rPr>
            <b/>
            <sz val="9"/>
            <color indexed="81"/>
            <rFont val="Tahoma"/>
            <family val="2"/>
          </rPr>
          <t>Refers to business  scenarios for which various test cases could be  generated</t>
        </r>
      </text>
    </comment>
    <comment ref="E5" authorId="1" shapeId="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F5" authorId="1" shapeId="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G5" authorId="1" shapeId="0">
      <text>
        <r>
          <rPr>
            <b/>
            <sz val="9"/>
            <color indexed="81"/>
            <rFont val="Tahoma"/>
            <family val="2"/>
          </rPr>
          <t>A specific scenario for which many test cases could be generated in the system test plan work sheet</t>
        </r>
        <r>
          <rPr>
            <sz val="8"/>
            <color indexed="81"/>
            <rFont val="Tahoma"/>
            <family val="2"/>
          </rPr>
          <t xml:space="preserve">
</t>
        </r>
      </text>
    </comment>
    <comment ref="H5" authorId="1" shapeId="0">
      <text>
        <r>
          <rPr>
            <b/>
            <sz val="9"/>
            <color indexed="81"/>
            <rFont val="Tahoma"/>
            <family val="2"/>
          </rPr>
          <t>A specific scenario for which many test cases could be generated in the system test plan work sheet</t>
        </r>
        <r>
          <rPr>
            <sz val="9"/>
            <color indexed="81"/>
            <rFont val="Tahoma"/>
            <family val="2"/>
          </rPr>
          <t xml:space="preserve">
</t>
        </r>
      </text>
    </comment>
    <comment ref="L5" authorId="1" shapeId="0">
      <text>
        <r>
          <rPr>
            <b/>
            <sz val="9"/>
            <color indexed="81"/>
            <rFont val="Tahoma"/>
            <family val="2"/>
          </rPr>
          <t>A specific scenario for which many test cases could be generated in the system test plan work sheet</t>
        </r>
        <r>
          <rPr>
            <sz val="9"/>
            <color indexed="81"/>
            <rFont val="Tahoma"/>
            <family val="2"/>
          </rPr>
          <t xml:space="preserve">
</t>
        </r>
      </text>
    </comment>
  </commentList>
</comments>
</file>

<file path=xl/comments3.xml><?xml version="1.0" encoding="utf-8"?>
<comments xmlns="http://schemas.openxmlformats.org/spreadsheetml/2006/main">
  <authors>
    <author xml:space="preserve">    </author>
    <author>Pooja Mathur</author>
    <author>Vinutha H V.</author>
    <author>ISD</author>
    <author>Pavani RV</author>
    <author>Jayashree G</author>
  </authors>
  <commentList>
    <comment ref="A2" authorId="0" shapeId="0">
      <text>
        <r>
          <rPr>
            <b/>
            <sz val="8"/>
            <color indexed="81"/>
            <rFont val="Tahoma"/>
            <family val="2"/>
          </rPr>
          <t xml:space="preserve"> Project ID allotted by SQA</t>
        </r>
        <r>
          <rPr>
            <sz val="8"/>
            <color indexed="81"/>
            <rFont val="Tahoma"/>
            <family val="2"/>
          </rPr>
          <t xml:space="preserve">
</t>
        </r>
      </text>
    </comment>
    <comment ref="I2" authorId="1" shapeId="0">
      <text>
        <r>
          <rPr>
            <b/>
            <sz val="9"/>
            <color indexed="81"/>
            <rFont val="Tahoma"/>
            <family val="2"/>
          </rPr>
          <t xml:space="preserve">Name of the project </t>
        </r>
        <r>
          <rPr>
            <sz val="9"/>
            <color indexed="81"/>
            <rFont val="Tahoma"/>
            <family val="2"/>
          </rPr>
          <t xml:space="preserve">
</t>
        </r>
      </text>
    </comment>
    <comment ref="A3" authorId="0" shapeId="0">
      <text>
        <r>
          <rPr>
            <b/>
            <sz val="8"/>
            <color indexed="81"/>
            <rFont val="Tahoma"/>
            <family val="2"/>
          </rPr>
          <t>Initials of the person who has prepared or  last modified the System Test Plan</t>
        </r>
        <r>
          <rPr>
            <sz val="8"/>
            <color indexed="81"/>
            <rFont val="Tahoma"/>
            <family val="2"/>
          </rPr>
          <t xml:space="preserve">
</t>
        </r>
      </text>
    </comment>
    <comment ref="I3" authorId="2" shapeId="0">
      <text>
        <r>
          <rPr>
            <b/>
            <sz val="9"/>
            <color indexed="81"/>
            <rFont val="Tahoma"/>
            <family val="2"/>
          </rPr>
          <t>Indicate the final version of the firmware/software used in  the product under System Testing</t>
        </r>
      </text>
    </comment>
    <comment ref="K3" authorId="1" shapeId="0">
      <text>
        <r>
          <rPr>
            <b/>
            <sz val="9"/>
            <color indexed="81"/>
            <rFont val="Tahoma"/>
            <family val="2"/>
          </rPr>
          <t>Count of the total number of bugs uncovered from System testing (including regression tests done if any)</t>
        </r>
        <r>
          <rPr>
            <sz val="8"/>
            <color indexed="81"/>
            <rFont val="Tahoma"/>
            <family val="2"/>
          </rPr>
          <t xml:space="preserve">
</t>
        </r>
      </text>
    </comment>
    <comment ref="A4" authorId="0" shapeId="0">
      <text>
        <r>
          <rPr>
            <b/>
            <sz val="8"/>
            <color indexed="81"/>
            <rFont val="Tahoma"/>
            <family val="2"/>
          </rPr>
          <t>Indicate the date on which the system testing has started</t>
        </r>
      </text>
    </comment>
    <comment ref="I4" authorId="3" shapeId="0">
      <text>
        <r>
          <rPr>
            <b/>
            <sz val="9"/>
            <color indexed="81"/>
            <rFont val="Tahoma"/>
            <family val="2"/>
          </rPr>
          <t>The date on which the system testing has concluded including all the regression tests done , if any</t>
        </r>
        <r>
          <rPr>
            <sz val="8"/>
            <color indexed="81"/>
            <rFont val="Tahoma"/>
            <family val="2"/>
          </rPr>
          <t xml:space="preserve">
</t>
        </r>
      </text>
    </comment>
    <comment ref="A5" authorId="4" shapeId="0">
      <text>
        <r>
          <rPr>
            <b/>
            <sz val="9"/>
            <color indexed="81"/>
            <rFont val="Tahoma"/>
            <family val="2"/>
          </rPr>
          <t>Indicate the scope testing. Eg: If the system test plan is divided into multiple sheets for funtional, behavioral, parametric testing mention the scope in this section</t>
        </r>
        <r>
          <rPr>
            <sz val="9"/>
            <color indexed="81"/>
            <rFont val="Tahoma"/>
            <family val="2"/>
          </rPr>
          <t xml:space="preserve">
</t>
        </r>
      </text>
    </comment>
    <comment ref="O6" authorId="0" shapeId="0">
      <text>
        <r>
          <rPr>
            <b/>
            <sz val="8"/>
            <color indexed="81"/>
            <rFont val="Tahoma"/>
            <family val="2"/>
          </rPr>
          <t>Remarks if any</t>
        </r>
      </text>
    </comment>
    <comment ref="A7" authorId="1" shapeId="0">
      <text>
        <r>
          <rPr>
            <b/>
            <sz val="9"/>
            <color indexed="81"/>
            <rFont val="Tahoma"/>
            <family val="2"/>
          </rPr>
          <t>Unique running serial number</t>
        </r>
        <r>
          <rPr>
            <sz val="9"/>
            <color indexed="81"/>
            <rFont val="Tahoma"/>
            <family val="2"/>
          </rPr>
          <t xml:space="preserve">
</t>
        </r>
      </text>
    </comment>
    <comment ref="B7" authorId="1" shapeId="0">
      <text>
        <r>
          <rPr>
            <b/>
            <sz val="9"/>
            <color indexed="81"/>
            <rFont val="Tahoma"/>
            <family val="2"/>
          </rPr>
          <t>Test Case ID (If assigned in the decision table)</t>
        </r>
      </text>
    </comment>
    <comment ref="C7" authorId="1" shapeId="0">
      <text>
        <r>
          <rPr>
            <b/>
            <sz val="9"/>
            <color indexed="81"/>
            <rFont val="Tahoma"/>
            <family val="2"/>
          </rPr>
          <t>Date on which all the iterations and regression tests as applicable for the particular test were completed</t>
        </r>
      </text>
    </comment>
    <comment ref="D7" authorId="1" shapeId="0">
      <text>
        <r>
          <rPr>
            <b/>
            <sz val="9"/>
            <color indexed="81"/>
            <rFont val="Tahoma"/>
            <family val="2"/>
          </rPr>
          <t>indicate the requirement ID as specified in the RTT</t>
        </r>
      </text>
    </comment>
    <comment ref="E7" authorId="0" shapeId="0">
      <text>
        <r>
          <rPr>
            <b/>
            <sz val="9"/>
            <color indexed="81"/>
            <rFont val="Tahoma"/>
            <family val="2"/>
          </rPr>
          <t xml:space="preserve">
Indicate here the specific details of the test if the information provided in the decision table is not sufficient</t>
        </r>
      </text>
    </comment>
    <comment ref="F7" authorId="1" shapeId="0">
      <text>
        <r>
          <rPr>
            <b/>
            <sz val="9"/>
            <color indexed="81"/>
            <rFont val="Tahoma"/>
            <family val="2"/>
          </rPr>
          <t xml:space="preserve">Describe the test conditions in detail including the set up , interconnections , trigger, pre/post test conditions etc. for each test number
</t>
        </r>
        <r>
          <rPr>
            <sz val="8"/>
            <color indexed="81"/>
            <rFont val="Tahoma"/>
            <family val="2"/>
          </rPr>
          <t xml:space="preserve">
</t>
        </r>
      </text>
    </comment>
    <comment ref="G7" authorId="0" shapeId="0">
      <text>
        <r>
          <rPr>
            <sz val="9"/>
            <color indexed="81"/>
            <rFont val="Tahoma"/>
            <family val="2"/>
          </rPr>
          <t>Mention here the design technique used for arriving at the test case values, like :</t>
        </r>
        <r>
          <rPr>
            <b/>
            <sz val="9"/>
            <color indexed="81"/>
            <rFont val="Tahoma"/>
            <family val="2"/>
          </rPr>
          <t xml:space="preserve">
&gt;Boundary Value Analysis (BVA)
&gt;Equivalence Partitioning  (EP)
&gt;Special Value (SV)
&gt;Error based (EB)
&gt;Input Output Domain (IOD)
</t>
        </r>
      </text>
    </comment>
    <comment ref="J7" authorId="1" shapeId="0">
      <text>
        <r>
          <rPr>
            <b/>
            <sz val="9"/>
            <color indexed="81"/>
            <rFont val="Tahoma"/>
            <family val="2"/>
          </rPr>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r>
      </text>
    </comment>
    <comment ref="K7" authorId="1" shapeId="0">
      <text>
        <r>
          <rPr>
            <b/>
            <sz val="9"/>
            <color indexed="81"/>
            <rFont val="Tahoma"/>
            <family val="2"/>
          </rPr>
          <t>the actual result indicating the measurements /outcome of the test</t>
        </r>
        <r>
          <rPr>
            <sz val="9"/>
            <color indexed="81"/>
            <rFont val="Tahoma"/>
            <family val="2"/>
          </rPr>
          <t xml:space="preserve">
</t>
        </r>
      </text>
    </comment>
    <comment ref="L7" authorId="1" shapeId="0">
      <text>
        <r>
          <rPr>
            <b/>
            <sz val="9"/>
            <color indexed="81"/>
            <rFont val="Tahoma"/>
            <family val="2"/>
          </rPr>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r>
      </text>
    </comment>
    <comment ref="M7" authorId="1" shapeId="0">
      <text>
        <r>
          <rPr>
            <b/>
            <sz val="9"/>
            <color indexed="81"/>
            <rFont val="Tahoma"/>
            <family val="2"/>
          </rPr>
          <t>The actual result indicating the measurements /outcome of the test</t>
        </r>
        <r>
          <rPr>
            <sz val="8"/>
            <color indexed="81"/>
            <rFont val="Tahoma"/>
            <family val="2"/>
          </rPr>
          <t xml:space="preserve">
</t>
        </r>
      </text>
    </comment>
    <comment ref="H8" authorId="0" shapeId="0">
      <text>
        <r>
          <rPr>
            <b/>
            <sz val="9"/>
            <color indexed="81"/>
            <rFont val="Tahoma"/>
            <family val="2"/>
          </rPr>
          <t>The parameter through which the output of this test is being measured</t>
        </r>
      </text>
    </comment>
    <comment ref="I8" authorId="5" shapeId="0">
      <text>
        <r>
          <rPr>
            <b/>
            <sz val="9"/>
            <color indexed="81"/>
            <rFont val="Tahoma"/>
            <family val="2"/>
          </rPr>
          <t>Indicate the expected outcome</t>
        </r>
        <r>
          <rPr>
            <sz val="9"/>
            <color indexed="81"/>
            <rFont val="Tahoma"/>
            <family val="2"/>
          </rPr>
          <t xml:space="preserve">
</t>
        </r>
      </text>
    </comment>
  </commentList>
</comments>
</file>

<file path=xl/comments4.xml><?xml version="1.0" encoding="utf-8"?>
<comments xmlns="http://schemas.openxmlformats.org/spreadsheetml/2006/main">
  <authors>
    <author>Pooja Mathur</author>
    <author>Bhuvana L</author>
    <author>pm</author>
    <author>ISD</author>
  </authors>
  <commentList>
    <comment ref="A2" authorId="0" shapeId="0">
      <text>
        <r>
          <rPr>
            <b/>
            <sz val="9"/>
            <color indexed="81"/>
            <rFont val="Tahoma"/>
            <family val="2"/>
          </rPr>
          <t>Project ID allotted by SQA:</t>
        </r>
        <r>
          <rPr>
            <sz val="9"/>
            <color indexed="81"/>
            <rFont val="Tahoma"/>
            <family val="2"/>
          </rPr>
          <t xml:space="preserve">
</t>
        </r>
      </text>
    </comment>
    <comment ref="E2" authorId="0" shapeId="0">
      <text>
        <r>
          <rPr>
            <b/>
            <sz val="9"/>
            <color indexed="81"/>
            <rFont val="Tahoma"/>
            <family val="2"/>
          </rPr>
          <t xml:space="preserve">Name of the project
</t>
        </r>
      </text>
    </comment>
    <comment ref="K2" authorId="0" shapeId="0">
      <text>
        <r>
          <rPr>
            <b/>
            <sz val="9"/>
            <color indexed="81"/>
            <rFont val="Tahoma"/>
            <family val="2"/>
          </rPr>
          <t>Name of the Tester</t>
        </r>
      </text>
    </comment>
    <comment ref="A3" authorId="0" shapeId="0">
      <text>
        <r>
          <rPr>
            <b/>
            <sz val="9"/>
            <color indexed="81"/>
            <rFont val="Tahoma"/>
            <family val="2"/>
          </rPr>
          <t>Total no. of bugs identified in testing</t>
        </r>
        <r>
          <rPr>
            <sz val="9"/>
            <color indexed="81"/>
            <rFont val="Tahoma"/>
            <family val="2"/>
          </rPr>
          <t xml:space="preserve">
</t>
        </r>
      </text>
    </comment>
    <comment ref="E3" authorId="0" shapeId="0">
      <text>
        <r>
          <rPr>
            <b/>
            <sz val="9"/>
            <color indexed="81"/>
            <rFont val="Tahoma"/>
            <family val="2"/>
          </rPr>
          <t>Name of the resource who has analyzed the Bug</t>
        </r>
        <r>
          <rPr>
            <sz val="9"/>
            <color indexed="81"/>
            <rFont val="Tahoma"/>
            <family val="2"/>
          </rPr>
          <t xml:space="preserve">
</t>
        </r>
      </text>
    </comment>
    <comment ref="B4" authorId="1" shapeId="0">
      <text>
        <r>
          <rPr>
            <sz val="9"/>
            <color indexed="81"/>
            <rFont val="Tahoma"/>
            <family val="2"/>
          </rPr>
          <t xml:space="preserve">Type of Testing is being performed
Unit Testing
Integration Testing
Hardware Module Testing
Validation Testing
</t>
        </r>
      </text>
    </comment>
    <comment ref="C4" authorId="2" shapeId="0">
      <text>
        <r>
          <rPr>
            <b/>
            <sz val="8"/>
            <color indexed="81"/>
            <rFont val="Tahoma"/>
            <family val="2"/>
          </rPr>
          <t>This test number shall be the same as the one given in the  plan and results work sheet for the bug being reported</t>
        </r>
        <r>
          <rPr>
            <sz val="8"/>
            <color indexed="81"/>
            <rFont val="Tahoma"/>
            <family val="2"/>
          </rPr>
          <t xml:space="preserve">
</t>
        </r>
      </text>
    </comment>
    <comment ref="D4" authorId="1" shapeId="0">
      <text>
        <r>
          <rPr>
            <b/>
            <sz val="9"/>
            <color indexed="81"/>
            <rFont val="Tahoma"/>
            <family val="2"/>
          </rPr>
          <t>Date on which the bug has been detected</t>
        </r>
        <r>
          <rPr>
            <sz val="9"/>
            <color indexed="81"/>
            <rFont val="Tahoma"/>
            <family val="2"/>
          </rPr>
          <t xml:space="preserve">
</t>
        </r>
      </text>
    </comment>
    <comment ref="E4" authorId="1" shapeId="0">
      <text>
        <r>
          <rPr>
            <sz val="9"/>
            <color indexed="81"/>
            <rFont val="Tahoma"/>
            <family val="2"/>
          </rPr>
          <t xml:space="preserve">
</t>
        </r>
        <r>
          <rPr>
            <b/>
            <sz val="9"/>
            <color indexed="81"/>
            <rFont val="Tahoma"/>
            <family val="2"/>
          </rPr>
          <t>Description of the bug observed</t>
        </r>
      </text>
    </comment>
    <comment ref="G4" authorId="3" shapeId="0">
      <text>
        <r>
          <rPr>
            <b/>
            <sz val="9"/>
            <color indexed="81"/>
            <rFont val="Tahoma"/>
            <family val="2"/>
          </rPr>
          <t xml:space="preserve">The iteration number of the test during which this bug is reported
</t>
        </r>
      </text>
    </comment>
    <comment ref="H4" authorId="3" shapeId="0">
      <text>
        <r>
          <rPr>
            <b/>
            <sz val="9"/>
            <color indexed="81"/>
            <rFont val="Tahoma"/>
            <family val="2"/>
          </rPr>
          <t xml:space="preserve">List all the modules/functions/programs impacted by this bug
</t>
        </r>
      </text>
    </comment>
    <comment ref="I4" authorId="1" shapeId="0">
      <text>
        <r>
          <rPr>
            <b/>
            <sz val="9"/>
            <color indexed="81"/>
            <rFont val="Tahoma"/>
            <family val="2"/>
          </rPr>
          <t>Ex: Source Code version,Alpha/Beta Phase etc</t>
        </r>
        <r>
          <rPr>
            <sz val="9"/>
            <color indexed="81"/>
            <rFont val="Tahoma"/>
            <family val="2"/>
          </rPr>
          <t xml:space="preserve">
</t>
        </r>
      </text>
    </comment>
    <comment ref="J4" authorId="3" shapeId="0">
      <text>
        <r>
          <rPr>
            <b/>
            <sz val="8"/>
            <color indexed="81"/>
            <rFont val="Tahoma"/>
            <family val="2"/>
          </rPr>
          <t>Bug Categories
AI:Assignment / Initialization
AM:Algorithm / Method
BC: Backward Compatibility
BLT:Blocked Test
CH:Checking
CON:Concurrency
DC:Design Conformance
DO:Error in supporting documents
HAC Hardware Configuration
ID: Internal Documentation
IM: Interface / O-O Messages
IN:Integration
INU: Install Upgrade Dependencies
LC: Lateral Compatibility
LD :Language Dependency
LF:Logic Flow
MED:Media
MFI: Maintenance/ Fix Dependencies 
MS:Missing
OPE:Optimization/Performance
PRC:Process Conformance
PSC: Packaging Scripts 
REE:Recovery /Exception
REL:Relationship
RS:Rare Situation
SE:Side Effects
SEQ:Sequencing
SHF:Shipped Files
SOC:Software Configuration
STR:Start Up Restart
TIS:Timing / Serialization
WS:Workload Stress
FRO- Foreign Objects
CFI - Counterfeit items
IMM-Impedance Mismatch
NS-Noise
CL-Clearance
SG:Suggestion
O1 - O11: Others, Please specify</t>
        </r>
      </text>
    </comment>
    <comment ref="K4" authorId="3" shapeId="0">
      <text>
        <r>
          <rPr>
            <b/>
            <sz val="9"/>
            <color indexed="81"/>
            <rFont val="Tahoma"/>
            <family val="2"/>
          </rPr>
          <t xml:space="preserve">Bug Severity
1-Fatal : Total system failure or System hangs 
2-Serious (Operation degraded) :This may include performance inconsistent with the Functional Requirements or data rendered is inconsistent and user cannot proceed with successful test.
3-Minor (Inconvenient usage):These error allows the functionality of the software with some work around.
4-Cosmetic:Improve user interface </t>
        </r>
      </text>
    </comment>
    <comment ref="L4" authorId="3" shapeId="0">
      <text>
        <r>
          <rPr>
            <b/>
            <u/>
            <sz val="9"/>
            <color indexed="81"/>
            <rFont val="Tahoma"/>
            <family val="2"/>
          </rPr>
          <t>Bug Cause</t>
        </r>
        <r>
          <rPr>
            <b/>
            <sz val="9"/>
            <color indexed="81"/>
            <rFont val="Tahoma"/>
            <family val="2"/>
          </rPr>
          <t xml:space="preserve">
CO-Communication Gap
OV-Oversight
UN-Understanding Error
RW-Rework
TR-Lack of Training
TC - Tool limitations/Controller problems
SC - Defects existing in the artefact provided by customer
O1-O3 - Others , please specify.</t>
        </r>
      </text>
    </comment>
    <comment ref="M4" authorId="3" shapeId="0">
      <text>
        <r>
          <rPr>
            <b/>
            <sz val="9"/>
            <color indexed="81"/>
            <rFont val="Tahoma"/>
            <family val="2"/>
          </rPr>
          <t>Fill in this section of the table only when any of the bugs found during the testing phase could be traced to an error escaped through the review of :
REQ: Requirements
HLD: High Level Design(SSAD /OOAD)
DLD/SWD: Detailed Level Design (OOAD) / SW Design (SSAD) / Design Change
HWD/MechD/DFMEA: Hardware Design/Design Change/ Mechanical Design/DFMEA
SCH: Schematics
BOM: Bill Of Materials 
CMP: HW Component Placement
LIB: HW Component Library
PCB: PCB/Gerber
CO: Code
UTPC: Unit Test Plan
ITP: Integrated Test Plan
MTP: Module Test Plan
VTP: Validation Test Plan
STP: System Test Plan</t>
        </r>
      </text>
    </comment>
    <comment ref="N4" authorId="0" shapeId="0">
      <text>
        <r>
          <rPr>
            <b/>
            <sz val="9"/>
            <color indexed="81"/>
            <rFont val="Tahoma"/>
            <family val="2"/>
          </rPr>
          <t xml:space="preserve">Indicate the actions planned  for resolving the bug. </t>
        </r>
        <r>
          <rPr>
            <sz val="8"/>
            <color indexed="81"/>
            <rFont val="Tahoma"/>
            <family val="2"/>
          </rPr>
          <t xml:space="preserve">
</t>
        </r>
      </text>
    </comment>
    <comment ref="O4" authorId="3" shapeId="0">
      <text>
        <r>
          <rPr>
            <b/>
            <sz val="9"/>
            <color indexed="81"/>
            <rFont val="Tahoma"/>
            <family val="2"/>
          </rPr>
          <t xml:space="preserve">Initials of the person to whom this bug is assigned for rectification
</t>
        </r>
      </text>
    </comment>
    <comment ref="P4" authorId="3" shapeId="0">
      <text>
        <r>
          <rPr>
            <b/>
            <u/>
            <sz val="9"/>
            <color indexed="81"/>
            <rFont val="Tahoma"/>
            <family val="2"/>
          </rPr>
          <t>Open -</t>
        </r>
        <r>
          <rPr>
            <b/>
            <sz val="9"/>
            <color indexed="81"/>
            <rFont val="Tahoma"/>
            <family val="2"/>
          </rPr>
          <t xml:space="preserve"> The bug is yet to be resolved.
</t>
        </r>
        <r>
          <rPr>
            <b/>
            <u/>
            <sz val="9"/>
            <color indexed="81"/>
            <rFont val="Tahoma"/>
            <family val="2"/>
          </rPr>
          <t>Fixed-</t>
        </r>
        <r>
          <rPr>
            <b/>
            <sz val="9"/>
            <color indexed="81"/>
            <rFont val="Tahoma"/>
            <family val="2"/>
          </rPr>
          <t>When the bugs are fixed and are awaiting the closure.
Fixed</t>
        </r>
        <r>
          <rPr>
            <b/>
            <u/>
            <sz val="9"/>
            <color indexed="81"/>
            <rFont val="Tahoma"/>
            <family val="2"/>
          </rPr>
          <t xml:space="preserve"> and Closed</t>
        </r>
        <r>
          <rPr>
            <b/>
            <sz val="9"/>
            <color indexed="81"/>
            <rFont val="Tahoma"/>
            <family val="2"/>
          </rPr>
          <t xml:space="preserve">-When fixed bugs are tested and closed. 
</t>
        </r>
        <r>
          <rPr>
            <b/>
            <u/>
            <sz val="9"/>
            <color indexed="81"/>
            <rFont val="Tahoma"/>
            <family val="2"/>
          </rPr>
          <t xml:space="preserve">
Rejected</t>
        </r>
        <r>
          <rPr>
            <b/>
            <sz val="9"/>
            <color indexed="81"/>
            <rFont val="Tahoma"/>
            <family val="2"/>
          </rPr>
          <t>- When no action will be taken on the bug. This status can only be used, if the Bug is categorized as a Suggestion</t>
        </r>
      </text>
    </comment>
    <comment ref="Q4" authorId="3" shapeId="0">
      <text>
        <r>
          <rPr>
            <b/>
            <sz val="9"/>
            <color indexed="81"/>
            <rFont val="Tahoma"/>
            <family val="2"/>
          </rPr>
          <t xml:space="preserve">Date on which the bug is closed
</t>
        </r>
      </text>
    </comment>
    <comment ref="R4" authorId="3" shapeId="0">
      <text>
        <r>
          <rPr>
            <b/>
            <sz val="9"/>
            <color indexed="81"/>
            <rFont val="Tahoma"/>
            <family val="2"/>
          </rPr>
          <t xml:space="preserve">Explanatory text, if required, for the entry
</t>
        </r>
      </text>
    </comment>
  </commentList>
</comments>
</file>

<file path=xl/sharedStrings.xml><?xml version="1.0" encoding="utf-8"?>
<sst xmlns="http://schemas.openxmlformats.org/spreadsheetml/2006/main" count="624" uniqueCount="470">
  <si>
    <t xml:space="preserve">     </t>
  </si>
  <si>
    <t xml:space="preserve"> </t>
  </si>
  <si>
    <t>Ver./Rel. No</t>
  </si>
  <si>
    <t>Release Date</t>
  </si>
  <si>
    <t>Mod.By Mod. Dt</t>
  </si>
  <si>
    <t>Auth By Auth Dt.</t>
  </si>
  <si>
    <t>Project Id.</t>
  </si>
  <si>
    <t>Project Name</t>
  </si>
  <si>
    <t>Bug Category</t>
  </si>
  <si>
    <t>Bug Cause</t>
  </si>
  <si>
    <t>Impacted Work Product</t>
  </si>
  <si>
    <t>Assigned To</t>
  </si>
  <si>
    <t>Status</t>
  </si>
  <si>
    <t xml:space="preserve">Tested By </t>
  </si>
  <si>
    <t>Test bench Details</t>
  </si>
  <si>
    <t xml:space="preserve">Total No. of bugs </t>
  </si>
  <si>
    <t xml:space="preserve">Test No </t>
  </si>
  <si>
    <t>Req ID</t>
  </si>
  <si>
    <t>Expected Result</t>
  </si>
  <si>
    <t>Actual Result</t>
  </si>
  <si>
    <t>Upper Limit</t>
  </si>
  <si>
    <t>Lower Limit</t>
  </si>
  <si>
    <t xml:space="preserve">RS version </t>
  </si>
  <si>
    <t>Sr No</t>
  </si>
  <si>
    <t>Description</t>
  </si>
  <si>
    <t>Conclusion</t>
  </si>
  <si>
    <t>Test Date</t>
  </si>
  <si>
    <t>Test Results</t>
  </si>
  <si>
    <t>Test Start Date</t>
  </si>
  <si>
    <t>Test End Date</t>
  </si>
  <si>
    <t>Limitations / Deficiencies / Risks percieved, if any</t>
  </si>
  <si>
    <t xml:space="preserve">Conclusion </t>
  </si>
  <si>
    <t>Req. ID</t>
  </si>
  <si>
    <t>System Test Plan &amp; Test Results</t>
  </si>
  <si>
    <t>Annexure</t>
  </si>
  <si>
    <t>DOCUMENT HISTORY</t>
  </si>
  <si>
    <t>Remarks/Revision Details</t>
  </si>
  <si>
    <t>Rev. By Relevant Stakeholders Rev. Dt.</t>
  </si>
  <si>
    <t>Bug Severity</t>
  </si>
  <si>
    <t>UOM</t>
  </si>
  <si>
    <t>Iteration No.</t>
  </si>
  <si>
    <t>System Test plan prepared /last modified on</t>
  </si>
  <si>
    <t>System Test plan prepared /last modified by</t>
  </si>
  <si>
    <t>Regression Test, if any</t>
  </si>
  <si>
    <t>Details of As - Run Tests</t>
  </si>
  <si>
    <t>Project ID</t>
  </si>
  <si>
    <t>Test No.</t>
  </si>
  <si>
    <t>SYSTEM  TEST PLAN / TEST RESULTS</t>
  </si>
  <si>
    <t xml:space="preserve">Firmware /Software  version </t>
  </si>
  <si>
    <t>Action Plan</t>
  </si>
  <si>
    <t>Project ID allotted by SQA</t>
  </si>
  <si>
    <t xml:space="preserve">Name of the project </t>
  </si>
  <si>
    <t>Initials of the person who has prepared or  last modified the System Test Plan</t>
  </si>
  <si>
    <t>Indicate the version of RS against which this Test Plan is prepared / updated</t>
  </si>
  <si>
    <t>Version of the firmware / Software being tested</t>
  </si>
  <si>
    <t>The date on which the system testing has concluded including all the regression tests done , if any</t>
  </si>
  <si>
    <t>Count of the total number of bugs uncovered from System testing (including regression tests done if any)</t>
  </si>
  <si>
    <t>Indicate the requirement ID as specified in the RTT</t>
  </si>
  <si>
    <t>Indicate the results expected as per customer's requirement</t>
  </si>
  <si>
    <t>Acceptable Upper limit of the expected result, as applicable</t>
  </si>
  <si>
    <t>Acceptable Lower Limit of the expected result, as applicable</t>
  </si>
  <si>
    <t>Indicate the unit of measurement as appropriate</t>
  </si>
  <si>
    <t>indicate the iteration number of the test viz., '1' indicates the test is being performed for the first time, '2' indicates that the test is being repeated again
here, it is assumed the system test is being redone on either the same prototype multiple number of times or being repeated on a different prototype</t>
  </si>
  <si>
    <t>the actual result indicating the measurements /outcome of the test</t>
  </si>
  <si>
    <t xml:space="preserve"> A: Acceptable
 B: Not Acceptable
 C: To be Reworked
 D: Accepted with Limitations</t>
  </si>
  <si>
    <t>&lt;Take into account the inferences drawn out of the test/regression test results as explained above, limitations, deficiencies and risks perceived before arriving at the conclusion on the acceptance or rejection of the product.&gt;</t>
  </si>
  <si>
    <t>Inference on the acceptability  of the results</t>
  </si>
  <si>
    <t>Enlist here  other test sequences followed during the actual test (which are not planned in the above table)</t>
  </si>
  <si>
    <t>indicate the limitations/ deficiencies/risks expected  in the final product performance taking into consideration the results of system testing</t>
  </si>
  <si>
    <t>Tested On</t>
  </si>
  <si>
    <t>indicate the initials of the person conducting the test</t>
  </si>
  <si>
    <t>indicate the date on which the test was concluded</t>
  </si>
  <si>
    <t>Take into account the inferences drawn out of the test/regression test results as explained above, limitations, deficiencies and risks perceived before arriving at the conclusion on the acceptance or rejection of the product</t>
  </si>
  <si>
    <t>Initials of the person who has performed the analysis on the system test results</t>
  </si>
  <si>
    <t>Name of the project</t>
  </si>
  <si>
    <t xml:space="preserve">unique running serial number as given in the System Test plan / Test results work sheet
</t>
  </si>
  <si>
    <t>Indicate the action planned  for solving the bug. For example, this bug will be taken for fixing in the next version as per our understanding with the customer.</t>
  </si>
  <si>
    <t>Initials of the person responsible for fixing the Bug</t>
  </si>
  <si>
    <t>Test Environment Details</t>
  </si>
  <si>
    <t>Indicate the test environment if the test is performed in other than the normal ambient conditions</t>
  </si>
  <si>
    <t>Sr. No.</t>
  </si>
  <si>
    <t>Decision table</t>
  </si>
  <si>
    <t>Acronym</t>
  </si>
  <si>
    <t xml:space="preserve">Cause </t>
  </si>
  <si>
    <t>OV</t>
  </si>
  <si>
    <t>Oversight</t>
  </si>
  <si>
    <t>Due to factors or aspects of design overlooked during development.</t>
  </si>
  <si>
    <t>UN</t>
  </si>
  <si>
    <t xml:space="preserve">Failure in Understanding </t>
  </si>
  <si>
    <t>Due to a lack of understanding of the particular concept in question</t>
  </si>
  <si>
    <t>TR</t>
  </si>
  <si>
    <t>Lack of Training</t>
  </si>
  <si>
    <t>Caused when the person is not adequately trained for the particular application and the error is attributed to knowledge related to the same.</t>
  </si>
  <si>
    <t>CO</t>
  </si>
  <si>
    <t>Communication Gap</t>
  </si>
  <si>
    <t>Due to lack of communication, or exchange of information  between various individuals groups</t>
  </si>
  <si>
    <t>RW</t>
  </si>
  <si>
    <t>Rework</t>
  </si>
  <si>
    <t>Unintended errors caused during rework of the work product.</t>
  </si>
  <si>
    <t>TC</t>
  </si>
  <si>
    <t>Tool Constraints</t>
  </si>
  <si>
    <t>Errors attributed to limitations in the tools used for developing the work product.</t>
  </si>
  <si>
    <t>SC</t>
  </si>
  <si>
    <t>Others</t>
  </si>
  <si>
    <t>Category</t>
  </si>
  <si>
    <t>AI</t>
  </si>
  <si>
    <t>Assignment /Initialization</t>
  </si>
  <si>
    <t>The bug is one or more values that are unassigned or assigned incorrectly.(code oversights like failing to initialize parameters)</t>
  </si>
  <si>
    <t>AM</t>
  </si>
  <si>
    <t>Algorithm / Method</t>
  </si>
  <si>
    <t>Problem can be fixed by rewriting the algorithm or local data structure without the need of a design change request.</t>
  </si>
  <si>
    <t>BC</t>
  </si>
  <si>
    <t>Backward Compatibility</t>
  </si>
  <si>
    <t>An incompatibility between functions described in the design document or code and an earlier version of the same function or element.</t>
  </si>
  <si>
    <t>BLT</t>
  </si>
  <si>
    <t>Blocked test</t>
  </si>
  <si>
    <t>CH</t>
  </si>
  <si>
    <t>Checking</t>
  </si>
  <si>
    <t>The bug consists of missing or incorrect validation of parameters or data in conditional statements.</t>
  </si>
  <si>
    <t>CON</t>
  </si>
  <si>
    <t>Concurrency</t>
  </si>
  <si>
    <t>Shared resources that are not being managed in a serial order.</t>
  </si>
  <si>
    <t xml:space="preserve">DC </t>
  </si>
  <si>
    <t>Design Conformance</t>
  </si>
  <si>
    <t>A mismatch between a design element or code segment and its specifications from the preceding development stage (missing, incorrect or extraneous)</t>
  </si>
  <si>
    <t>DO</t>
  </si>
  <si>
    <t>Error in supporting documents</t>
  </si>
  <si>
    <t>Lapses attributed to errors  existing in the documents which were used as a reference for the concerned work product are placed in this category.</t>
  </si>
  <si>
    <t>HAC</t>
  </si>
  <si>
    <t>Hardware Configuration</t>
  </si>
  <si>
    <r>
      <t xml:space="preserve">An error is found when the system is being tested  to make sure that it is operating correctly under a variety of supported hardware configurations 
</t>
    </r>
    <r>
      <rPr>
        <i/>
        <sz val="10"/>
        <rFont val="Tahoma"/>
        <family val="2"/>
      </rPr>
      <t>For example, the software fails to print a job on a particular brand of printer.</t>
    </r>
  </si>
  <si>
    <t>ID</t>
  </si>
  <si>
    <t>Internal Documentation</t>
  </si>
  <si>
    <t>IM</t>
  </si>
  <si>
    <t>Interface / O-O Messages</t>
  </si>
  <si>
    <t>The fix required solving communication problems between programming entities and their data exchange routines.</t>
  </si>
  <si>
    <t>IN</t>
  </si>
  <si>
    <t>Integration</t>
  </si>
  <si>
    <t>INU</t>
  </si>
  <si>
    <t>LC</t>
  </si>
  <si>
    <t>Lateral Compatibility</t>
  </si>
  <si>
    <t>The function described by the design document or code is incompatible with another system, product, service or component with which it must interact.</t>
  </si>
  <si>
    <t>LD</t>
  </si>
  <si>
    <t>LF</t>
  </si>
  <si>
    <t>Logic Flow</t>
  </si>
  <si>
    <t>An error or inconsistency in the data or in the logical flow of a design element. 
For example, While reviewing code you realize  that the counter variable for the while loop is initialized to a wrong value.</t>
  </si>
  <si>
    <t>MED</t>
  </si>
  <si>
    <t>Media</t>
  </si>
  <si>
    <t>The package used to distribute the software is damaged .
For example, there may be a data over-run error on the CD ROM.</t>
  </si>
  <si>
    <t>MFI</t>
  </si>
  <si>
    <t>A fix was incorrectly packaged.</t>
  </si>
  <si>
    <t>MS</t>
  </si>
  <si>
    <t>Missing</t>
  </si>
  <si>
    <t xml:space="preserve">Items missing from the work product </t>
  </si>
  <si>
    <t>OPE</t>
  </si>
  <si>
    <t>OP/P</t>
  </si>
  <si>
    <t>Optimization / performance related inadequacies</t>
  </si>
  <si>
    <t>PRC</t>
  </si>
  <si>
    <t>Process Conformance</t>
  </si>
  <si>
    <t>The build procedure was not specified or followed correctly or there was a failure to communicate the necessary change.</t>
  </si>
  <si>
    <t>PSC</t>
  </si>
  <si>
    <t>Packaging Scripts</t>
  </si>
  <si>
    <t>These were errors in the script used to install , uninstall, migrate or upgrade the system.</t>
  </si>
  <si>
    <t>REE</t>
  </si>
  <si>
    <t>Recovery/Exception</t>
  </si>
  <si>
    <t>The system test fails while testing whether  an exception handler or some type of system recovery code is correctly invoked when a fault occurs.</t>
  </si>
  <si>
    <t>REL</t>
  </si>
  <si>
    <t>Relationship</t>
  </si>
  <si>
    <t>These fixes relate to problems among procedures, data structures and objects.</t>
  </si>
  <si>
    <t>RS</t>
  </si>
  <si>
    <t>Rare Situation</t>
  </si>
  <si>
    <t>SE</t>
  </si>
  <si>
    <t>Side Effects</t>
  </si>
  <si>
    <t>Inadequacies  outside the scope of the current design or code under review, but that affects the interaction of this component with other components already within the system environment.</t>
  </si>
  <si>
    <t>SEQ</t>
  </si>
  <si>
    <t>Sequencing</t>
  </si>
  <si>
    <t>failure of the code while attempting to run multiple functions in a very specific sequence.</t>
  </si>
  <si>
    <t>SHF</t>
  </si>
  <si>
    <t>Shipped Files</t>
  </si>
  <si>
    <t>These are problems with the shipped files , such as dual ownership or system errors like checksums or incorrect file size.</t>
  </si>
  <si>
    <t>SOC</t>
  </si>
  <si>
    <t xml:space="preserve">An error is found when the system is being tested  to make sure that it is operating correctly under a variety of supported Software configurations 
</t>
  </si>
  <si>
    <t>STR</t>
  </si>
  <si>
    <t>Start up/Restart</t>
  </si>
  <si>
    <t>After a failure the system or a sub system is powering up or is being restarted.</t>
  </si>
  <si>
    <t>TIS</t>
  </si>
  <si>
    <t>Timing / Serialization</t>
  </si>
  <si>
    <t>The fix involves correcting a problem with the sequence or timing of a shared resource and is more complex in nature than a simple assignment or other error that may result in a timing or serialization error.</t>
  </si>
  <si>
    <t>WS</t>
  </si>
  <si>
    <t>Workload Stress</t>
  </si>
  <si>
    <t>Note:</t>
  </si>
  <si>
    <t>Data Elements</t>
  </si>
  <si>
    <t>Test Case Scenarios</t>
  </si>
  <si>
    <t>T1</t>
  </si>
  <si>
    <t>T2</t>
  </si>
  <si>
    <t>T</t>
  </si>
  <si>
    <t xml:space="preserve">Results in </t>
  </si>
  <si>
    <t>Input Test Values</t>
  </si>
  <si>
    <t xml:space="preserve">Test Case Designed For </t>
  </si>
  <si>
    <t>Input Values</t>
  </si>
  <si>
    <r>
      <t>&lt;</t>
    </r>
    <r>
      <rPr>
        <sz val="14"/>
        <rFont val="Arial"/>
        <family val="2"/>
      </rPr>
      <t>Trend Managemen</t>
    </r>
    <r>
      <rPr>
        <sz val="14"/>
        <color indexed="10"/>
        <rFont val="Arial"/>
        <family val="2"/>
      </rPr>
      <t>t&gt;</t>
    </r>
  </si>
  <si>
    <t xml:space="preserve">Expected Output </t>
  </si>
  <si>
    <t>Data Element</t>
  </si>
  <si>
    <t>Output Parameter</t>
  </si>
  <si>
    <t>Indicate here the specific details of the test if the information provided in the decision table is not sufficient</t>
  </si>
  <si>
    <t>Input data for each of the data elements connected with each business scenario</t>
  </si>
  <si>
    <t>For each of the data elements assign specific input values considering the business scenario under test</t>
  </si>
  <si>
    <t xml:space="preserve">Mention here the design technique used for arriving at the test case values, like :
&gt;Boundary Value Analysis
&gt;Equivalence Partitioning
&gt;Domain Analysis
&gt;Special Value
&gt;Error based
&gt;Robustness test cases
</t>
  </si>
  <si>
    <t>The parameter through which the output of this test is being measured</t>
  </si>
  <si>
    <t>Closed on Date</t>
  </si>
  <si>
    <t>The iteration number of the test during which this bug is reported</t>
  </si>
  <si>
    <t xml:space="preserve">Category wise Distribution Of  Bugs </t>
  </si>
  <si>
    <t xml:space="preserve">Cause wise Distribution Of  Bugs </t>
  </si>
  <si>
    <t>System Test Cases</t>
  </si>
  <si>
    <t xml:space="preserve">Test Case Scenario No </t>
  </si>
  <si>
    <t>Test Case Scenario Description</t>
  </si>
  <si>
    <t>Test Description (explaining test Condition, Setup and other details)</t>
  </si>
  <si>
    <t xml:space="preserve">Bugs first escaped through the review of  </t>
  </si>
  <si>
    <t xml:space="preserve">Bug Severity
1-Fatal : Total system failure or System hangs 
2-Serious (Operation degraded) :This may include performance inconsistent with the Functional Requirements or data rendered is inconsistent and user cannot proceed with successful test.
3-Minor (Inconvenient usage):These error allows the functionality of the software with some work around.
4-Cosmetic:Improve user interface </t>
  </si>
  <si>
    <t>Remarks (If any)</t>
  </si>
  <si>
    <t>Remarks if any</t>
  </si>
  <si>
    <t>Remarks (if any)</t>
  </si>
  <si>
    <t>Closed on date</t>
  </si>
  <si>
    <t>Date on which the bug is closed.</t>
  </si>
  <si>
    <t>Test number with respect to requirement ID</t>
  </si>
  <si>
    <t>date on which all the iterations and regression tests as applicable for the particular test were completed</t>
  </si>
  <si>
    <t>Requirement Description</t>
  </si>
  <si>
    <r>
      <t>1.Use this decision table to arrive at the test case scenarios for each Requiremetn ID  as necessary.
2. Insert rows for data elements if more data elements need to be addded .
3. Insert columns for test case scenarios as necessary.
4. Copy this table for generating test case scenarios for other Requirement IDs
5. Remove the text within angle brackets</t>
    </r>
    <r>
      <rPr>
        <sz val="10"/>
        <color indexed="10"/>
        <rFont val="Arial"/>
        <family val="2"/>
      </rPr>
      <t xml:space="preserve">&lt;&gt; </t>
    </r>
    <r>
      <rPr>
        <sz val="10"/>
        <rFont val="Arial"/>
        <family val="2"/>
      </rPr>
      <t>while using the template</t>
    </r>
  </si>
  <si>
    <r>
      <t xml:space="preserve">&lt;  </t>
    </r>
    <r>
      <rPr>
        <sz val="10"/>
        <rFont val="Arial"/>
        <family val="2"/>
      </rPr>
      <t>MM01</t>
    </r>
  </si>
  <si>
    <t>M MODE</t>
  </si>
  <si>
    <t>B MODE</t>
  </si>
  <si>
    <t>B+M MODE</t>
  </si>
  <si>
    <t>B/M MODE</t>
  </si>
  <si>
    <t>B+B MODE</t>
  </si>
  <si>
    <t>4B MODE</t>
  </si>
  <si>
    <t>FREEZE</t>
  </si>
  <si>
    <t>Y</t>
  </si>
  <si>
    <t>KEY ALLOWED</t>
  </si>
  <si>
    <t>KEYBACK LIGHT</t>
  </si>
  <si>
    <t>UPDATE OVERLAY</t>
  </si>
  <si>
    <t>UPDATE TECHDATA</t>
  </si>
  <si>
    <t>MOUSE SET</t>
  </si>
  <si>
    <t>MOUSE SKIP</t>
  </si>
  <si>
    <t>MOUSE MOVE</t>
  </si>
  <si>
    <t>DEPTH UP</t>
  </si>
  <si>
    <t>D1</t>
  </si>
  <si>
    <t>D2</t>
  </si>
  <si>
    <t>D3</t>
  </si>
  <si>
    <t>D4</t>
  </si>
  <si>
    <t>D5</t>
  </si>
  <si>
    <t>D6</t>
  </si>
  <si>
    <t>D7</t>
  </si>
  <si>
    <t>D8</t>
  </si>
  <si>
    <t>T3</t>
  </si>
  <si>
    <t>T4</t>
  </si>
  <si>
    <t>T5</t>
  </si>
  <si>
    <t>T6</t>
  </si>
  <si>
    <t>T7</t>
  </si>
  <si>
    <t>T8</t>
  </si>
  <si>
    <t>DC</t>
  </si>
  <si>
    <t>Fill in this section of the table only when any of the bugs found during the testing phase could be traced to an error escaped through the review of :
REQ: Requirements
HLD: High Level Design (SSAD / OOAD)
DLD / SWD  : Detailed Level Design (OOAD) / SW Design (SSAD) / Design Change
HWD/MechD/DFMEA: Hardware Design/Design Change/ Mechanical Design/DFMEA
SCH: Schematics
BOM: Bill Of Materials 
CMP: HW Componenet Placement
LIB: HW Componenet Library
PCB: PCB/Gerber
CO: Code
UTPC: Unit Test Plan
ITP: Integrated Test Plan
MTP: Module Test Plan
VTP: Validation Test Plan
STP: System Test Plan</t>
  </si>
  <si>
    <t>Analysed By</t>
  </si>
  <si>
    <t>O1</t>
  </si>
  <si>
    <t>O2</t>
  </si>
  <si>
    <t>O3</t>
  </si>
  <si>
    <t>O4</t>
  </si>
  <si>
    <t>O5</t>
  </si>
  <si>
    <t>O6</t>
  </si>
  <si>
    <t>O7</t>
  </si>
  <si>
    <t>O8</t>
  </si>
  <si>
    <t>O9</t>
  </si>
  <si>
    <t>O10</t>
  </si>
  <si>
    <t>O11</t>
  </si>
  <si>
    <t>O1 - O3</t>
  </si>
  <si>
    <t>Field</t>
  </si>
  <si>
    <t>Indicate the work products which need to undergo revision due to this bug.</t>
  </si>
  <si>
    <t>It is a situation where you cannot complete the planned  system test scenario because the product fails in a very basic manner.</t>
  </si>
  <si>
    <t>Incorrect, inconsistent or incomplete information within the internal documentation (for example, comments in the code, etc.)</t>
  </si>
  <si>
    <t>These are problems with the files required for installation . 
For example, the package may specify incorrect or missing files.</t>
  </si>
  <si>
    <t>When the system is operating at or near its upper or lower resource limits, it fails.
For example, 
&gt;when a system is running idle, it hangs or crashes.
&gt;System crashes while handling large or small jobs or running multiple products at one time.</t>
  </si>
  <si>
    <t xml:space="preserve"> SystemTest Plan /Test Results</t>
  </si>
  <si>
    <t>Test Case ID (If assigned in the decision table)</t>
  </si>
  <si>
    <t>Project Id</t>
  </si>
  <si>
    <t>Indicate the details of the bug &amp; the condition during the test, when it appeared</t>
  </si>
  <si>
    <t>Expected outcome</t>
  </si>
  <si>
    <t>Expected Outcome</t>
  </si>
  <si>
    <t>Indicate the expected outcome for the test case</t>
  </si>
  <si>
    <t>Test Result Summary</t>
  </si>
  <si>
    <t>Tests</t>
  </si>
  <si>
    <t>% of test cases passed</t>
  </si>
  <si>
    <t>% of test cases failed</t>
  </si>
  <si>
    <t>% of test cases not executed</t>
  </si>
  <si>
    <t>Iteration 1</t>
  </si>
  <si>
    <t>Iteration 2</t>
  </si>
  <si>
    <t>Note : Add columns to capture the test results if more than 3 iterations are carried out.</t>
  </si>
  <si>
    <t>Reference Artifacts used for Testing</t>
  </si>
  <si>
    <t>Document ID</t>
  </si>
  <si>
    <t>Document Name</t>
  </si>
  <si>
    <t>Hardware Tools / Environment required for Testing</t>
  </si>
  <si>
    <t>Description of the Tool / Environment used for Testing</t>
  </si>
  <si>
    <t>Configuration</t>
  </si>
  <si>
    <t>Due for Calibration On</t>
  </si>
  <si>
    <t>Software Tools required for Testing</t>
  </si>
  <si>
    <t xml:space="preserve">Sl. No. </t>
  </si>
  <si>
    <t>Ver no.</t>
  </si>
  <si>
    <t>Summary of Testing</t>
  </si>
  <si>
    <t>Tested By</t>
  </si>
  <si>
    <t>Description of the Software Tool used for Testing</t>
  </si>
  <si>
    <t>Number of Bugs</t>
  </si>
  <si>
    <t>SG</t>
  </si>
  <si>
    <t>Suggestion</t>
  </si>
  <si>
    <t>This category relates to methodologies or changes which can help in improving the existing design but may be rejected if it does not affect the product's overall performance.</t>
  </si>
  <si>
    <t>Specify the test equipment /tools used for performing the system testing
along with their version /configuration details</t>
  </si>
  <si>
    <t>Limitations / Deficiencies / Risks perceived, if any</t>
  </si>
  <si>
    <t>Any other specific Causes may be categorized here.</t>
  </si>
  <si>
    <t>An interaction between two or more functions or components causes a bug to surface . Each function completes successfully when run independently, but the interaction fails in this specific combination.</t>
  </si>
  <si>
    <t>Install Upgrade Dependencies</t>
  </si>
  <si>
    <t>Language dependency</t>
  </si>
  <si>
    <t>This trigger reveals that the design or code does not comply with the definitions, standards, efficiencies, or compilation concerns of a particular programming language as applicable for the project.</t>
  </si>
  <si>
    <t>Maintenance/ Fix Dependencies</t>
  </si>
  <si>
    <t xml:space="preserve"> some unusual or atypical system behavior or configuration that is not addressed by the design or code under review</t>
  </si>
  <si>
    <t>Software Configuration</t>
  </si>
  <si>
    <t xml:space="preserve">Note: 
1. The decision table worksheet shall be used for arriving at all the possible test case scenarios taking into consideration all the input data elements and the actions expected .
2.It is expected that these test case scenarios shall be used to generate multiple test cases to uncover errors in the system test plan worksheet. It is important to cover all the test case scenarios while generating the specific test cases.
3. The findings of the test are analyzed later on the results analysis sheet to facilitate causal analysis.
</t>
  </si>
  <si>
    <t>Analyzed By</t>
  </si>
  <si>
    <t>Iteration 3</t>
  </si>
  <si>
    <t>Regression Testing</t>
  </si>
  <si>
    <t>Open - The bug is yet to be resolved.
Fixed-When the bugs are fixed but yet to be proven throgh Regression Testing
Fixed and Closed-When fixed bugs are tested and closed.
Rejected-When no action will be taken on the bug. This status can only be used, if the Bug is categorized as a Suggestion</t>
  </si>
  <si>
    <t xml:space="preserve">System Test Plan (A verification plan at system level which captures System Test Specifications / conditions, Test Bench Details, Test Environment, Expected Results, Acceptance Criteria etc. that will be used to verify and ensure that a product / project or system meets its requirements/specifications) 
System Test Results (Records the Test Bench Details, Test Environment, Actual Results on the test specifications / conditions indicating whether acceptance criteria defined has been met or not. Inference is drawn based on test results).
</t>
  </si>
  <si>
    <t>Bug Cause
CO-Communication Gap
OV-Oversight
UN-Understanding Error
RW-Rework
TR-Lack of Training
TC - Tool limitations/Controller problems
SC - Defects existing in the artefact provided by customer
O1 - O3- Others , please specify.</t>
  </si>
  <si>
    <t>Defects existing in the artefact provided by customer</t>
  </si>
  <si>
    <t>Existing in the artefact provided by customer</t>
  </si>
  <si>
    <t>System Test Plan /Test Results</t>
  </si>
  <si>
    <t>Note :</t>
  </si>
  <si>
    <t>Clear System test Results Button : On hitting this button, the system test results (including run test results) will be cleared if "YES" option is chosen. 
If the template is tailored, then "Clear System test Results" will not work. Results are to be manually cleared in that case.</t>
  </si>
  <si>
    <t>Scope of  Testing</t>
  </si>
  <si>
    <t>Scope of Testing</t>
  </si>
  <si>
    <t>Indicate the scope of testing being covered</t>
  </si>
  <si>
    <t>describe the test conditions in detail including the set up , interconnections , trigger, pre/post test conditions, trigger etc. for each test number</t>
  </si>
  <si>
    <t>List all the  input data conditions connected to this test scenario</t>
  </si>
  <si>
    <t>Indicate the date on which the system test plan was prepared or last modified whichever is later</t>
  </si>
  <si>
    <t xml:space="preserve">
Indicate the date on which the system testing has started</t>
  </si>
  <si>
    <t>IMM</t>
  </si>
  <si>
    <t>NS</t>
  </si>
  <si>
    <t>CL</t>
  </si>
  <si>
    <t>Impedance Mismatch</t>
  </si>
  <si>
    <t>A mismatch between source and load impedance (Z)
For e.g. It can be improved by placing an apparent load to the source of 
Z load = Z source* (complex conjugate matching), to extract maximum power from the source</t>
  </si>
  <si>
    <t>Noise</t>
  </si>
  <si>
    <t>Random fluctuation in an electrical signal. It can also be an error or undesired random disturbance of a useful information signal in a communication channel.</t>
  </si>
  <si>
    <t>Clearance</t>
  </si>
  <si>
    <t>The evaluation of clearance  (shortest distance between two conductive parts, or between a conductive part and the bounding surface of the equipment or component to chaises, measured through air) for components that are mounted above the printed circuit board is incorrect</t>
  </si>
  <si>
    <t>O1 - O11</t>
  </si>
  <si>
    <t>FRO</t>
  </si>
  <si>
    <t>CFI</t>
  </si>
  <si>
    <t>Bug Categories
AI:Assignment / Initialization
AM:Algorithm / Method
BC: Backward Compatibility
BLT:Blocked Test
CH:Checking
CON:Concurrency
DC:Design Conformance
DO:Error in supporting documents
HAC Hardware Configuration
ID: Internal Documentation
IM: Interface / O-O Messages
IN:Integration
INU: Install Upgrade Dependencies
LC: Lateral Compatibility
LD :Language Dependency
LF:Logic Flow
MED:Media
MFI: Maintenance/ Fix Dependencies 
MS:Missing
OPE:Optimization/Performance
PRC:Process Conformance
PSC: Packaging Scripts 
REE:Recovery /Exception
REL:Relationship
RS:Rare Situation
SE:Side Effects
SEQ:Sequencing
SHF:Shipped Files
SOC:Software Configuration
STR:Start Up Restart
TIS:Timing / Serialization
WS:Workload Stress
FRO- Foreign Objects
CFI - Counterfeit item
IMM:Impedance Mismatch
NS:Noise
CL:Clearance 
SG:Suggestion                                      
O1 - O11 :Others, Please specify</t>
  </si>
  <si>
    <t>Counterfeit Items</t>
  </si>
  <si>
    <t>An unauthorized copy, imitation, substitute or modified part (e.g., material, part, component), which is knowingly misrepresented as a specified genuine part of an original or authorized manufacturer.</t>
  </si>
  <si>
    <t>The occurrence of extraneous or unwanted contents in the work product i.e., the error was due to something not relevant or pertinent to the document or code. E.g., There is a section of the design document which is not pertinent to the current product and should be removed.</t>
  </si>
  <si>
    <t>Foreign Objects</t>
  </si>
  <si>
    <t>Type of Testing</t>
  </si>
  <si>
    <t>Total No. of Bugs</t>
  </si>
  <si>
    <t>Sl No.</t>
  </si>
  <si>
    <t>Bug Description</t>
  </si>
  <si>
    <t>Impacted work products</t>
  </si>
  <si>
    <t>Remarks</t>
  </si>
  <si>
    <t>Initials of the person who has performed the System Testing</t>
  </si>
  <si>
    <t>Type of testing</t>
  </si>
  <si>
    <t>Total number of Bugs</t>
  </si>
  <si>
    <t>Total number of bugs identified during system testing</t>
  </si>
  <si>
    <t>Type of testing is being performed</t>
  </si>
  <si>
    <t>Unique ID of the impacted work product being tested.Ex:Source Code version,Alpha/Beta phase</t>
  </si>
  <si>
    <t>Bug Report</t>
  </si>
  <si>
    <t>Version of the Impacted work product</t>
  </si>
  <si>
    <t>Version of the impacted work product</t>
  </si>
  <si>
    <t>Firmware/Software version</t>
  </si>
  <si>
    <t>Date on which the bug detected</t>
  </si>
  <si>
    <t>Date of Bug detection</t>
  </si>
  <si>
    <t>Annexure for Bug Report</t>
  </si>
  <si>
    <t>NA</t>
  </si>
  <si>
    <t>EMB_VER_07F/5.3/11-Aug-17</t>
  </si>
  <si>
    <t>To provide Co-existence testing application for Converged Devices</t>
  </si>
  <si>
    <t>SWR_01</t>
  </si>
  <si>
    <t>SWR_02</t>
  </si>
  <si>
    <t>SWR_03</t>
  </si>
  <si>
    <t>SWR_04</t>
  </si>
  <si>
    <t>SWR_05</t>
  </si>
  <si>
    <t>SWR_06</t>
  </si>
  <si>
    <t>SWR_07</t>
  </si>
  <si>
    <t>SWR_08</t>
  </si>
  <si>
    <t xml:space="preserve">Android Studio </t>
  </si>
  <si>
    <t xml:space="preserve">Gradle </t>
  </si>
  <si>
    <t xml:space="preserve">ADB </t>
  </si>
  <si>
    <t>SWR_01_TC_01</t>
  </si>
  <si>
    <t>NA as of now</t>
  </si>
  <si>
    <t>LTTS_Motorola_Co-Existence Testing</t>
  </si>
  <si>
    <t>Yet to define</t>
  </si>
  <si>
    <t xml:space="preserve">Test Case Description </t>
  </si>
  <si>
    <t>SWR_01_TC_02</t>
  </si>
  <si>
    <t>SWR_01_TC_03</t>
  </si>
  <si>
    <t>SWR_01_TC_04</t>
  </si>
  <si>
    <t>SWR_01_TC_05</t>
  </si>
  <si>
    <t>SWR_01_TC_06</t>
  </si>
  <si>
    <t>SWR_01_TC_07</t>
  </si>
  <si>
    <t>SWR_01_TC_08</t>
  </si>
  <si>
    <t>Raghavendra CS</t>
  </si>
  <si>
    <t>Camera Annotations</t>
  </si>
  <si>
    <t xml:space="preserve">NA </t>
  </si>
  <si>
    <t xml:space="preserve">Shadown Project Document </t>
  </si>
  <si>
    <t xml:space="preserve"> Android Smartphone </t>
  </si>
  <si>
    <t>Stable Android 8.0 Oreo and +</t>
  </si>
  <si>
    <t>v 4.1</t>
  </si>
  <si>
    <t>v 6.5</t>
  </si>
  <si>
    <t xml:space="preserve">Android Gradle Plugin Version </t>
  </si>
  <si>
    <t>v 1.4.3</t>
  </si>
  <si>
    <t>v 4.1.1</t>
  </si>
  <si>
    <t xml:space="preserve">Application should launch and should work as sepcified </t>
  </si>
  <si>
    <t xml:space="preserve">Render inbuilt camera stream into application UI. </t>
  </si>
  <si>
    <t>Annotate over the camera stream via Text or Pen with black colour. Colour selection widget is optional</t>
  </si>
  <si>
    <t>Application should allow users to select the necessary required annotaion and take notes via text / pen</t>
  </si>
  <si>
    <t>Provide Erase all options to clear screen of annotations.</t>
  </si>
  <si>
    <t xml:space="preserve">Application should be able to provide an erase all button that will erase all the annotations at one tap and clear the screen </t>
  </si>
  <si>
    <t xml:space="preserve">With the writeable widgets, an extra Erase button enabled which will erase/Clear all the Notes and Scribbles taken at one tap. </t>
  </si>
  <si>
    <t>Annotation widget shall allow free hand drawing on the screen via Pen option.</t>
  </si>
  <si>
    <t xml:space="preserve">Annotation on the video is of 2 types, the first being the writing notes via a pen tool which will enable the user to write handsfree on the stream screen live
</t>
  </si>
  <si>
    <t xml:space="preserve"> Application should provide various forms of annotaions.</t>
  </si>
  <si>
    <t>Annotation widget shall also allow to do text input on the screen. User should be able to Tap and write over the camera preview screen.</t>
  </si>
  <si>
    <t xml:space="preserve">The other way of using the widgets and taking notes would be to take notes via the traditional Text format, user should be able to click on the video recording stream and with the help of on – screen keyboard type in the notes.
</t>
  </si>
  <si>
    <t>Application should provide free hand annotations on the dyanmic video screen.</t>
  </si>
  <si>
    <t>Application should able to instantly save the instance of the video along with annotaions.</t>
  </si>
  <si>
    <t xml:space="preserve">Andriod Application Launch - without crashing </t>
  </si>
  <si>
    <t>Android Smartphone running on Android 5.0 + with deault camera app with it</t>
  </si>
  <si>
    <t>Uninstall and reinstall the application if required</t>
  </si>
  <si>
    <t>SWR_09</t>
  </si>
  <si>
    <t>SWR_01_TC_09</t>
  </si>
  <si>
    <t>SWR_01_TC_10</t>
  </si>
  <si>
    <t>SWR_10</t>
  </si>
  <si>
    <t xml:space="preserve">To the camera application except the (Image/Video data) </t>
  </si>
  <si>
    <t>Application should launch and open without application crashing</t>
  </si>
  <si>
    <t>User should be able to save the  video in required storage location.</t>
  </si>
  <si>
    <t>The application should be able to save the  video in required storage location.</t>
  </si>
  <si>
    <t>The application should be able to save the recorded video in the specified storage location</t>
  </si>
  <si>
    <t>1.Harshith H K 2.Bindu K R 3.Devineni Sai Kiran    4.Hasika Chelladurah</t>
  </si>
  <si>
    <t xml:space="preserve">Application should be able to render the camera into the application </t>
  </si>
  <si>
    <t xml:space="preserve">Application will render the camera.  </t>
  </si>
  <si>
    <t>A stop button displayed on the bottom of the video that will allow the user to save the current instance of the video that will enable the user to save the video for future references of the notes.</t>
  </si>
  <si>
    <t xml:space="preserve"> Screen Recorder - for saving the notes along with the video for the future references. 
</t>
  </si>
  <si>
    <t>Screen Snapshot - for saving the screenshot (still image) of the that particualar instance as to whatsoever is displayed on the screen</t>
  </si>
  <si>
    <t xml:space="preserve">A Snapshot button that will save the the whole screen as is with annotations for future refernces. </t>
  </si>
  <si>
    <t xml:space="preserve">Application should let users to take snapshot of the livestream </t>
  </si>
  <si>
    <t xml:space="preserve"> Uninstalling the application should remove all the context and data belongs 
To the camera application except the (Image/Video data) </t>
  </si>
  <si>
    <t xml:space="preserve">    The application should be able uninstall or                                                                 reinstall whenever required by the user</t>
  </si>
  <si>
    <t>SWR_01_TC_11</t>
  </si>
  <si>
    <t>SWR_11</t>
  </si>
  <si>
    <t>Upon installtation of the application - The file storage of the application should be automatiically created in the internal storage of the android device</t>
  </si>
  <si>
    <t>After installation of the application  - Parent directory named "Camera Annotations" should be created in the internal storage of the Android Device.</t>
  </si>
  <si>
    <t>The application should have a dedicated directory for storing the applicatiuon data (Videos and image) as and when they are saved in the internal storage.</t>
  </si>
  <si>
    <t>SWR_01_TC_12</t>
  </si>
  <si>
    <t>SWR_12</t>
  </si>
  <si>
    <t xml:space="preserve">Create a sub-directory under Parent Dirctory for Screen Recording </t>
  </si>
  <si>
    <t>Create a separate Sub-Directories specifiacclay to store videos under the Parent app directory i.e, CameraAnnotations/ScreenRecordings</t>
  </si>
  <si>
    <t>Dedicated Sub-directory for screen recording for the videos seperetely and are stored inside that.</t>
  </si>
  <si>
    <t>SWR_01_TC_13</t>
  </si>
  <si>
    <t>SWR_13</t>
  </si>
  <si>
    <t xml:space="preserve">Create a sub-directory under Parent Dirctory for Screen Snapshots. </t>
  </si>
  <si>
    <t>Create a separate Sub-Directories specifiacclay to store screen Snapshots under the Parent app directory i.e, CameraAnnotations/SnapShots.</t>
  </si>
  <si>
    <t>SWR_01_TC_14</t>
  </si>
  <si>
    <t>SWR_14</t>
  </si>
  <si>
    <t xml:space="preserve">Handle Naming convenction for saving and distinguishing the videos and reducing redundancy  </t>
  </si>
  <si>
    <t>Saving the videos and snapshots in unique name each time they are saved and no redundancy with names so that the same file  isnt over writted and singleton in maintianed.</t>
  </si>
  <si>
    <t xml:space="preserve">Application should be able to save the Videos and images i.e, Screen Recordings and Snap shots in diff unique names. </t>
  </si>
  <si>
    <t>Passing (Manual Tested)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</si>
</sst>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
  </numFmts>
  <fonts count="31" x14ac:knownFonts="1">
    <font>
      <sz val="10"/>
      <name val="Arial"/>
    </font>
    <font>
      <sz val="10"/>
      <name val="Arial"/>
      <family val="2"/>
    </font>
    <font>
      <sz val="10"/>
      <name val="Times New Roman"/>
      <family val="1"/>
    </font>
    <font>
      <sz val="12"/>
      <name val="Times New Roman"/>
      <family val="1"/>
    </font>
    <font>
      <b/>
      <sz val="12"/>
      <name val="Times New Roman"/>
      <family val="1"/>
    </font>
    <font>
      <b/>
      <sz val="10"/>
      <name val="Times New Roman"/>
      <family val="1"/>
    </font>
    <font>
      <b/>
      <sz val="8"/>
      <color indexed="81"/>
      <name val="Tahoma"/>
      <family val="2"/>
    </font>
    <font>
      <sz val="8"/>
      <color indexed="81"/>
      <name val="Tahoma"/>
      <family val="2"/>
    </font>
    <font>
      <b/>
      <sz val="10"/>
      <name val="Arial"/>
      <family val="2"/>
    </font>
    <font>
      <b/>
      <sz val="12"/>
      <name val="Arial"/>
      <family val="2"/>
    </font>
    <font>
      <sz val="10"/>
      <name val="Arial"/>
      <family val="2"/>
    </font>
    <font>
      <b/>
      <sz val="14"/>
      <name val="Arial"/>
      <family val="2"/>
    </font>
    <font>
      <b/>
      <sz val="9"/>
      <color indexed="81"/>
      <name val="Tahoma"/>
      <family val="2"/>
    </font>
    <font>
      <sz val="12"/>
      <name val="Arial"/>
      <family val="2"/>
    </font>
    <font>
      <sz val="9"/>
      <color indexed="81"/>
      <name val="Tahoma"/>
      <family val="2"/>
    </font>
    <font>
      <sz val="10"/>
      <name val="Tahoma"/>
      <family val="2"/>
    </font>
    <font>
      <i/>
      <sz val="10"/>
      <name val="Tahoma"/>
      <family val="2"/>
    </font>
    <font>
      <sz val="14"/>
      <color indexed="10"/>
      <name val="Arial"/>
      <family val="2"/>
    </font>
    <font>
      <sz val="14"/>
      <name val="Arial"/>
      <family val="2"/>
    </font>
    <font>
      <sz val="7"/>
      <name val="Times New Roman"/>
      <family val="1"/>
    </font>
    <font>
      <sz val="7"/>
      <name val="Arial"/>
      <family val="2"/>
    </font>
    <font>
      <sz val="10"/>
      <name val="Arial"/>
      <family val="2"/>
    </font>
    <font>
      <sz val="10"/>
      <color indexed="10"/>
      <name val="Arial"/>
      <family val="2"/>
    </font>
    <font>
      <b/>
      <u/>
      <sz val="10"/>
      <name val="Times New Roman"/>
      <family val="1"/>
    </font>
    <font>
      <u/>
      <sz val="10"/>
      <name val="Arial"/>
      <family val="2"/>
    </font>
    <font>
      <sz val="10"/>
      <color indexed="9"/>
      <name val="Arial"/>
      <family val="2"/>
    </font>
    <font>
      <sz val="10"/>
      <name val="Arial"/>
      <family val="2"/>
    </font>
    <font>
      <b/>
      <u/>
      <sz val="9"/>
      <color indexed="81"/>
      <name val="Tahoma"/>
      <family val="2"/>
    </font>
    <font>
      <sz val="11"/>
      <color theme="1"/>
      <name val="Calibri"/>
      <family val="2"/>
      <scheme val="minor"/>
    </font>
    <font>
      <sz val="11"/>
      <name val="Calibri"/>
      <family val="2"/>
    </font>
    <font>
      <sz val="10"/>
      <name val="Calibri"/>
      <family val="2"/>
    </font>
  </fonts>
  <fills count="1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14999847407452621"/>
        <bgColor indexed="55"/>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s>
  <borders count="66">
    <border>
      <left/>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medium">
        <color indexed="64"/>
      </right>
      <top style="thin">
        <color indexed="8"/>
      </top>
      <bottom/>
      <diagonal/>
    </border>
    <border>
      <left/>
      <right style="medium">
        <color indexed="64"/>
      </right>
      <top style="thin">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s>
  <cellStyleXfs count="2">
    <xf numFmtId="0" fontId="0" fillId="0" borderId="0"/>
    <xf numFmtId="0" fontId="1" fillId="0" borderId="0"/>
  </cellStyleXfs>
  <cellXfs count="404">
    <xf numFmtId="0" fontId="0" fillId="0" borderId="0" xfId="0"/>
    <xf numFmtId="2" fontId="2" fillId="0" borderId="0" xfId="0" applyNumberFormat="1" applyFont="1" applyBorder="1" applyAlignment="1">
      <alignment horizontal="center" vertical="top" wrapText="1"/>
    </xf>
    <xf numFmtId="0" fontId="5" fillId="0" borderId="0" xfId="0" applyFont="1" applyAlignment="1">
      <alignment horizontal="center" vertical="top" wrapText="1"/>
    </xf>
    <xf numFmtId="0" fontId="2" fillId="0" borderId="0" xfId="0" applyFont="1" applyBorder="1" applyAlignment="1">
      <alignment horizontal="center" vertical="top" wrapText="1"/>
    </xf>
    <xf numFmtId="2" fontId="2" fillId="0" borderId="1" xfId="0" applyNumberFormat="1" applyFont="1" applyBorder="1" applyAlignment="1">
      <alignment horizontal="center" vertical="top" wrapText="1"/>
    </xf>
    <xf numFmtId="2" fontId="2" fillId="0" borderId="2" xfId="0" applyNumberFormat="1" applyFont="1" applyBorder="1" applyAlignment="1">
      <alignment horizontal="center" vertical="top" wrapText="1"/>
    </xf>
    <xf numFmtId="0" fontId="0" fillId="2" borderId="0" xfId="0" applyFill="1" applyAlignment="1">
      <alignment vertical="center" wrapText="1"/>
    </xf>
    <xf numFmtId="0" fontId="0" fillId="0" borderId="0" xfId="0" applyAlignment="1">
      <alignment vertical="center" wrapText="1"/>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3" xfId="0" applyFont="1" applyBorder="1" applyAlignment="1">
      <alignment horizontal="left" vertical="center" wrapText="1"/>
    </xf>
    <xf numFmtId="0" fontId="10" fillId="0" borderId="3" xfId="0" applyFont="1" applyBorder="1" applyAlignment="1">
      <alignment vertical="center" wrapText="1"/>
    </xf>
    <xf numFmtId="0" fontId="10" fillId="2" borderId="0" xfId="0" applyFont="1" applyFill="1" applyAlignment="1">
      <alignment vertical="center" wrapText="1"/>
    </xf>
    <xf numFmtId="0" fontId="10" fillId="0" borderId="0" xfId="0" applyFont="1" applyAlignment="1">
      <alignment vertical="center" wrapText="1"/>
    </xf>
    <xf numFmtId="0" fontId="22" fillId="0" borderId="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0" xfId="0" applyFont="1" applyBorder="1" applyAlignment="1">
      <alignment horizontal="center" vertical="center" wrapText="1"/>
    </xf>
    <xf numFmtId="0" fontId="10"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2" fillId="0" borderId="0" xfId="0" applyFont="1" applyAlignment="1" applyProtection="1">
      <alignment horizontal="left" vertical="top" wrapText="1"/>
      <protection locked="0"/>
    </xf>
    <xf numFmtId="0" fontId="0" fillId="0" borderId="0" xfId="0" applyBorder="1" applyAlignment="1">
      <alignment wrapText="1"/>
    </xf>
    <xf numFmtId="0" fontId="26" fillId="0" borderId="0" xfId="0" applyFont="1" applyFill="1" applyBorder="1" applyAlignment="1">
      <alignment horizontal="center" vertical="center" wrapText="1"/>
    </xf>
    <xf numFmtId="0" fontId="5" fillId="4" borderId="9" xfId="0" applyFont="1" applyFill="1" applyBorder="1" applyAlignment="1" applyProtection="1">
      <alignment horizontal="center" vertical="center" wrapText="1"/>
      <protection locked="0"/>
    </xf>
    <xf numFmtId="0" fontId="5" fillId="4" borderId="10" xfId="0" applyFont="1" applyFill="1" applyBorder="1" applyAlignment="1" applyProtection="1">
      <alignment horizontal="center" vertical="center" wrapText="1"/>
      <protection locked="0"/>
    </xf>
    <xf numFmtId="0" fontId="10" fillId="5" borderId="5" xfId="0" applyFont="1" applyFill="1" applyBorder="1" applyAlignment="1">
      <alignment horizontal="center" vertical="center" wrapText="1"/>
    </xf>
    <xf numFmtId="0" fontId="10" fillId="5" borderId="11"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0" fillId="4" borderId="12" xfId="0" applyFont="1" applyFill="1" applyBorder="1" applyAlignment="1">
      <alignment vertical="center" wrapText="1"/>
    </xf>
    <xf numFmtId="0" fontId="10" fillId="4" borderId="13" xfId="0" applyFont="1" applyFill="1" applyBorder="1" applyAlignment="1">
      <alignment horizontal="center" vertical="center" wrapText="1"/>
    </xf>
    <xf numFmtId="0" fontId="10" fillId="4" borderId="3" xfId="0" applyFont="1" applyFill="1" applyBorder="1" applyAlignment="1">
      <alignment vertical="center" wrapText="1"/>
    </xf>
    <xf numFmtId="0" fontId="10" fillId="4" borderId="0" xfId="0" applyFont="1" applyFill="1" applyAlignment="1">
      <alignment vertical="center" wrapText="1"/>
    </xf>
    <xf numFmtId="0" fontId="15" fillId="0" borderId="4" xfId="0" applyFont="1" applyBorder="1" applyAlignment="1" applyProtection="1">
      <alignment horizontal="left" vertical="center" wrapText="1"/>
      <protection locked="0"/>
    </xf>
    <xf numFmtId="0" fontId="0" fillId="2" borderId="0" xfId="0" applyFill="1" applyProtection="1">
      <protection locked="0"/>
    </xf>
    <xf numFmtId="0" fontId="0" fillId="0" borderId="0" xfId="0" applyProtection="1">
      <protection locked="0"/>
    </xf>
    <xf numFmtId="0" fontId="10" fillId="2" borderId="0" xfId="0" applyFont="1" applyFill="1" applyProtection="1">
      <protection locked="0"/>
    </xf>
    <xf numFmtId="0" fontId="10" fillId="0" borderId="0" xfId="0" applyFont="1" applyProtection="1">
      <protection locked="0"/>
    </xf>
    <xf numFmtId="0" fontId="10" fillId="0" borderId="3" xfId="0" applyFont="1" applyBorder="1" applyAlignment="1" applyProtection="1">
      <alignment wrapText="1"/>
      <protection locked="0"/>
    </xf>
    <xf numFmtId="0" fontId="10" fillId="7" borderId="14" xfId="0" applyFont="1" applyFill="1" applyBorder="1" applyAlignment="1" applyProtection="1">
      <alignment horizontal="center"/>
    </xf>
    <xf numFmtId="0" fontId="10" fillId="7" borderId="15" xfId="0" applyFont="1" applyFill="1" applyBorder="1" applyAlignment="1" applyProtection="1">
      <alignment horizontal="center"/>
    </xf>
    <xf numFmtId="0" fontId="13" fillId="4" borderId="16" xfId="0" applyFont="1" applyFill="1" applyBorder="1" applyAlignment="1" applyProtection="1">
      <alignment horizontal="center" vertical="top" wrapText="1"/>
      <protection locked="0"/>
    </xf>
    <xf numFmtId="0" fontId="10" fillId="0" borderId="17" xfId="0" applyFont="1" applyBorder="1" applyAlignment="1" applyProtection="1">
      <alignment horizontal="left" vertical="center" wrapText="1"/>
      <protection locked="0"/>
    </xf>
    <xf numFmtId="0" fontId="10" fillId="0" borderId="17" xfId="0" applyFont="1" applyBorder="1" applyAlignment="1" applyProtection="1">
      <alignment horizontal="left" vertical="top" wrapText="1"/>
      <protection locked="0"/>
    </xf>
    <xf numFmtId="0" fontId="10" fillId="0" borderId="17" xfId="0" applyFont="1" applyBorder="1" applyAlignment="1" applyProtection="1">
      <alignment vertical="top" wrapText="1"/>
      <protection locked="0"/>
    </xf>
    <xf numFmtId="0" fontId="10" fillId="0" borderId="3" xfId="0" applyFont="1" applyFill="1" applyBorder="1" applyAlignment="1" applyProtection="1">
      <alignment wrapText="1"/>
      <protection locked="0"/>
    </xf>
    <xf numFmtId="0" fontId="10" fillId="0" borderId="18" xfId="0" applyFont="1" applyBorder="1" applyAlignment="1" applyProtection="1">
      <alignment vertical="top" wrapText="1"/>
      <protection locked="0"/>
    </xf>
    <xf numFmtId="0" fontId="13" fillId="4" borderId="10" xfId="0" applyFont="1" applyFill="1" applyBorder="1" applyAlignment="1" applyProtection="1">
      <alignment horizontal="center" vertical="center" wrapText="1"/>
      <protection locked="0"/>
    </xf>
    <xf numFmtId="0" fontId="13" fillId="4" borderId="19"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center" vertical="center" wrapText="1"/>
      <protection locked="0"/>
    </xf>
    <xf numFmtId="0" fontId="21" fillId="0" borderId="4" xfId="0" applyFont="1" applyBorder="1" applyAlignment="1" applyProtection="1">
      <alignment horizontal="left" vertical="center" wrapText="1"/>
      <protection locked="0"/>
    </xf>
    <xf numFmtId="0" fontId="10" fillId="0" borderId="4" xfId="0" applyFont="1" applyBorder="1" applyAlignment="1" applyProtection="1">
      <alignment horizontal="left" vertical="center" wrapText="1"/>
      <protection locked="0"/>
    </xf>
    <xf numFmtId="0" fontId="13" fillId="4" borderId="4" xfId="0" applyFont="1" applyFill="1" applyBorder="1" applyAlignment="1" applyProtection="1">
      <alignment horizontal="center" vertical="center" wrapText="1"/>
      <protection locked="0"/>
    </xf>
    <xf numFmtId="0" fontId="15" fillId="4" borderId="3"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left" vertical="center" wrapText="1"/>
      <protection locked="0"/>
    </xf>
    <xf numFmtId="0" fontId="26" fillId="0" borderId="0" xfId="0" applyFont="1" applyAlignment="1" applyProtection="1">
      <alignment horizontal="center" vertical="center" wrapText="1"/>
      <protection locked="0"/>
    </xf>
    <xf numFmtId="0" fontId="13" fillId="4" borderId="20" xfId="0" applyFont="1" applyFill="1" applyBorder="1" applyAlignment="1" applyProtection="1">
      <alignment horizontal="center" vertical="top" wrapText="1"/>
      <protection locked="0"/>
    </xf>
    <xf numFmtId="0" fontId="13" fillId="4" borderId="4" xfId="0" applyFont="1" applyFill="1" applyBorder="1" applyAlignment="1" applyProtection="1">
      <alignment horizontal="center" vertical="top" wrapText="1"/>
      <protection locked="0"/>
    </xf>
    <xf numFmtId="0" fontId="10" fillId="4" borderId="20"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top" wrapText="1"/>
      <protection locked="0"/>
    </xf>
    <xf numFmtId="0" fontId="10" fillId="0" borderId="4" xfId="0" applyFont="1" applyBorder="1" applyAlignment="1" applyProtection="1">
      <alignment horizontal="left" vertical="top" wrapText="1"/>
      <protection locked="0"/>
    </xf>
    <xf numFmtId="0" fontId="10" fillId="0" borderId="4" xfId="0" applyFont="1" applyBorder="1" applyAlignment="1" applyProtection="1">
      <alignment vertical="top" wrapText="1"/>
      <protection locked="0"/>
    </xf>
    <xf numFmtId="0" fontId="10" fillId="0" borderId="4" xfId="0" applyFont="1" applyFill="1" applyBorder="1" applyAlignment="1" applyProtection="1">
      <alignment horizontal="left" vertical="top" wrapText="1"/>
      <protection locked="0"/>
    </xf>
    <xf numFmtId="0" fontId="10" fillId="0" borderId="4" xfId="0" applyFont="1" applyFill="1" applyBorder="1" applyAlignment="1" applyProtection="1">
      <alignment vertical="top" wrapText="1"/>
      <protection locked="0"/>
    </xf>
    <xf numFmtId="0" fontId="0" fillId="0" borderId="4" xfId="0" applyBorder="1" applyAlignment="1" applyProtection="1">
      <alignment wrapText="1"/>
      <protection locked="0"/>
    </xf>
    <xf numFmtId="0" fontId="0" fillId="4" borderId="3" xfId="0" applyFill="1" applyBorder="1" applyAlignment="1" applyProtection="1">
      <alignment wrapText="1"/>
      <protection locked="0"/>
    </xf>
    <xf numFmtId="0" fontId="10" fillId="4" borderId="3" xfId="0" applyFont="1" applyFill="1" applyBorder="1" applyAlignment="1" applyProtection="1">
      <alignment wrapText="1"/>
      <protection locked="0"/>
    </xf>
    <xf numFmtId="0" fontId="0" fillId="2" borderId="0" xfId="0" applyFill="1" applyBorder="1" applyProtection="1">
      <protection locked="0"/>
    </xf>
    <xf numFmtId="0" fontId="0" fillId="2" borderId="0" xfId="0" applyFill="1" applyBorder="1" applyAlignment="1" applyProtection="1">
      <alignment wrapText="1"/>
      <protection locked="0"/>
    </xf>
    <xf numFmtId="0" fontId="0" fillId="2" borderId="0" xfId="0" applyFill="1" applyAlignment="1" applyProtection="1">
      <alignment wrapText="1"/>
      <protection locked="0"/>
    </xf>
    <xf numFmtId="0" fontId="0" fillId="0" borderId="0" xfId="0" applyAlignment="1" applyProtection="1">
      <alignment wrapText="1"/>
      <protection locked="0"/>
    </xf>
    <xf numFmtId="0" fontId="8" fillId="7" borderId="21" xfId="0" applyFont="1" applyFill="1" applyBorder="1" applyAlignment="1" applyProtection="1">
      <alignment horizontal="center"/>
    </xf>
    <xf numFmtId="0" fontId="10" fillId="7" borderId="13" xfId="0" applyFont="1" applyFill="1" applyBorder="1" applyAlignment="1" applyProtection="1">
      <alignment horizontal="center"/>
    </xf>
    <xf numFmtId="0" fontId="0" fillId="7" borderId="0" xfId="0" applyFill="1" applyProtection="1">
      <protection locked="0"/>
    </xf>
    <xf numFmtId="0" fontId="0" fillId="0" borderId="8" xfId="0" applyFill="1" applyBorder="1" applyAlignment="1" applyProtection="1">
      <alignment horizontal="center"/>
      <protection locked="0"/>
    </xf>
    <xf numFmtId="0" fontId="0" fillId="0" borderId="4" xfId="0" applyFill="1" applyBorder="1" applyProtection="1">
      <protection locked="0"/>
    </xf>
    <xf numFmtId="164" fontId="0" fillId="0" borderId="20" xfId="0" applyNumberFormat="1" applyFill="1" applyBorder="1" applyProtection="1">
      <protection locked="0"/>
    </xf>
    <xf numFmtId="164" fontId="0" fillId="0" borderId="22" xfId="0" applyNumberFormat="1" applyFill="1" applyBorder="1" applyProtection="1">
      <protection locked="0"/>
    </xf>
    <xf numFmtId="0" fontId="0" fillId="0" borderId="3" xfId="0" applyFill="1" applyBorder="1" applyAlignment="1" applyProtection="1">
      <protection locked="0"/>
    </xf>
    <xf numFmtId="0" fontId="0" fillId="0" borderId="7" xfId="0" applyFill="1" applyBorder="1" applyAlignment="1" applyProtection="1">
      <protection locked="0"/>
    </xf>
    <xf numFmtId="0" fontId="0" fillId="0" borderId="23" xfId="0" applyFill="1" applyBorder="1" applyProtection="1">
      <protection locked="0"/>
    </xf>
    <xf numFmtId="0" fontId="10" fillId="7" borderId="24" xfId="0" applyFont="1" applyFill="1" applyBorder="1" applyAlignment="1" applyProtection="1"/>
    <xf numFmtId="0" fontId="0" fillId="0" borderId="17" xfId="0" applyFill="1" applyBorder="1" applyProtection="1">
      <protection locked="0"/>
    </xf>
    <xf numFmtId="0" fontId="10" fillId="7" borderId="9" xfId="0" applyFont="1" applyFill="1" applyBorder="1" applyAlignment="1" applyProtection="1"/>
    <xf numFmtId="0" fontId="10" fillId="7" borderId="10" xfId="0" applyFont="1" applyFill="1" applyBorder="1" applyAlignment="1" applyProtection="1"/>
    <xf numFmtId="0" fontId="10" fillId="4" borderId="3" xfId="0" applyFont="1" applyFill="1" applyBorder="1" applyAlignment="1" applyProtection="1">
      <alignment horizontal="center" vertical="center" wrapText="1"/>
      <protection locked="0"/>
    </xf>
    <xf numFmtId="0" fontId="13" fillId="4" borderId="3"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vertical="center" wrapText="1"/>
      <protection locked="0"/>
    </xf>
    <xf numFmtId="0" fontId="13" fillId="4" borderId="3" xfId="0" applyFont="1" applyFill="1" applyBorder="1" applyAlignment="1" applyProtection="1">
      <alignment horizontal="center" vertical="top" wrapText="1"/>
      <protection locked="0"/>
    </xf>
    <xf numFmtId="0" fontId="8" fillId="4" borderId="20" xfId="0" applyFont="1" applyFill="1" applyBorder="1" applyAlignment="1" applyProtection="1">
      <alignment horizontal="center" vertical="center" wrapText="1"/>
      <protection locked="0"/>
    </xf>
    <xf numFmtId="0" fontId="10" fillId="4" borderId="3" xfId="0" applyFont="1" applyFill="1" applyBorder="1" applyAlignment="1" applyProtection="1">
      <alignment horizontal="left" vertical="center" wrapText="1"/>
      <protection locked="0"/>
    </xf>
    <xf numFmtId="0" fontId="10" fillId="0" borderId="25" xfId="0" applyFont="1" applyBorder="1" applyAlignment="1" applyProtection="1">
      <alignment vertical="top" wrapText="1"/>
      <protection locked="0"/>
    </xf>
    <xf numFmtId="0" fontId="8" fillId="4" borderId="1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5" borderId="3" xfId="0" applyFont="1" applyFill="1" applyBorder="1" applyAlignment="1">
      <alignment horizontal="center" vertical="center" wrapText="1"/>
    </xf>
    <xf numFmtId="164" fontId="10" fillId="0" borderId="20" xfId="0" applyNumberFormat="1" applyFont="1" applyFill="1" applyBorder="1" applyAlignment="1" applyProtection="1">
      <alignment horizontal="center" vertical="center"/>
      <protection locked="0"/>
    </xf>
    <xf numFmtId="164" fontId="0" fillId="0" borderId="20" xfId="0" applyNumberFormat="1" applyFill="1" applyBorder="1" applyAlignment="1" applyProtection="1">
      <alignment horizontal="center" vertical="center"/>
      <protection locked="0"/>
    </xf>
    <xf numFmtId="0" fontId="0" fillId="0" borderId="0" xfId="0" applyBorder="1" applyAlignment="1" applyProtection="1">
      <alignment wrapText="1"/>
      <protection locked="0"/>
    </xf>
    <xf numFmtId="0" fontId="25" fillId="0" borderId="0" xfId="0" applyFont="1" applyFill="1" applyBorder="1" applyAlignment="1" applyProtection="1">
      <alignment horizontal="center" vertical="center" wrapText="1"/>
      <protection locked="0"/>
    </xf>
    <xf numFmtId="0" fontId="26" fillId="0" borderId="0" xfId="0" applyFont="1" applyBorder="1" applyAlignment="1">
      <alignment wrapText="1"/>
    </xf>
    <xf numFmtId="0" fontId="10" fillId="0" borderId="0" xfId="0" applyFont="1" applyBorder="1" applyAlignment="1" applyProtection="1">
      <alignment wrapText="1"/>
      <protection locked="0"/>
    </xf>
    <xf numFmtId="0" fontId="10" fillId="0" borderId="0" xfId="0" applyFont="1" applyFill="1" applyBorder="1" applyAlignment="1">
      <alignment wrapText="1"/>
    </xf>
    <xf numFmtId="0" fontId="2" fillId="0" borderId="26" xfId="0" applyFont="1" applyBorder="1" applyAlignment="1">
      <alignment horizontal="center" vertical="top" wrapText="1"/>
    </xf>
    <xf numFmtId="0" fontId="2" fillId="0" borderId="0" xfId="0" applyFont="1" applyAlignment="1">
      <alignment horizontal="center" vertical="top" wrapText="1"/>
    </xf>
    <xf numFmtId="0" fontId="0" fillId="0" borderId="0" xfId="0" applyAlignment="1">
      <alignment horizontal="center"/>
    </xf>
    <xf numFmtId="0" fontId="2" fillId="0" borderId="35" xfId="0" applyFont="1" applyBorder="1" applyAlignment="1">
      <alignment horizontal="center" vertical="top" wrapText="1"/>
    </xf>
    <xf numFmtId="0" fontId="2" fillId="0" borderId="36" xfId="0" applyFont="1" applyBorder="1" applyAlignment="1">
      <alignment horizontal="center" vertical="top" wrapText="1"/>
    </xf>
    <xf numFmtId="0" fontId="2" fillId="0" borderId="37" xfId="0" applyFont="1" applyBorder="1" applyAlignment="1">
      <alignment horizontal="center" vertical="top" wrapText="1"/>
    </xf>
    <xf numFmtId="0" fontId="0" fillId="0" borderId="0" xfId="0" applyBorder="1" applyAlignment="1">
      <alignment horizontal="center"/>
    </xf>
    <xf numFmtId="0" fontId="2" fillId="0" borderId="1" xfId="0" applyFont="1" applyBorder="1" applyAlignment="1" applyProtection="1">
      <alignment horizontal="center" vertical="top" wrapText="1"/>
      <protection locked="0"/>
    </xf>
    <xf numFmtId="165" fontId="2" fillId="0" borderId="2" xfId="0" applyNumberFormat="1" applyFont="1" applyBorder="1" applyAlignment="1">
      <alignment horizontal="center" vertical="top" wrapText="1"/>
    </xf>
    <xf numFmtId="0" fontId="3" fillId="0" borderId="1" xfId="0" applyFont="1" applyBorder="1" applyAlignment="1">
      <alignment horizontal="center" vertical="top" wrapText="1"/>
    </xf>
    <xf numFmtId="14" fontId="3" fillId="0" borderId="2" xfId="0" applyNumberFormat="1" applyFont="1" applyBorder="1" applyAlignment="1">
      <alignment horizontal="center" vertical="top" wrapText="1"/>
    </xf>
    <xf numFmtId="0" fontId="2" fillId="0" borderId="1" xfId="0" applyFont="1" applyBorder="1" applyAlignment="1">
      <alignment horizontal="center" vertical="top" wrapText="1"/>
    </xf>
    <xf numFmtId="0" fontId="2" fillId="0" borderId="2" xfId="0" applyFont="1" applyBorder="1" applyAlignment="1">
      <alignment horizontal="center" vertical="top" wrapText="1"/>
    </xf>
    <xf numFmtId="2" fontId="19" fillId="0" borderId="0" xfId="0" applyNumberFormat="1"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2" xfId="0" applyFont="1" applyBorder="1" applyAlignment="1">
      <alignment horizontal="center" vertical="top" wrapText="1"/>
    </xf>
    <xf numFmtId="0" fontId="1" fillId="0" borderId="0" xfId="0" applyFont="1" applyAlignment="1">
      <alignment horizontal="center"/>
    </xf>
    <xf numFmtId="0" fontId="2" fillId="0" borderId="3" xfId="0" applyFont="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vertical="center"/>
    </xf>
    <xf numFmtId="165" fontId="2" fillId="0" borderId="3" xfId="0" applyNumberFormat="1" applyFont="1" applyBorder="1" applyAlignment="1">
      <alignment horizontal="center" vertical="center" wrapText="1"/>
    </xf>
    <xf numFmtId="0" fontId="2" fillId="0" borderId="1" xfId="0" applyFont="1" applyBorder="1" applyAlignment="1">
      <alignment horizontal="center" vertical="center" wrapText="1"/>
    </xf>
    <xf numFmtId="165" fontId="2"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0" fontId="2" fillId="0" borderId="2" xfId="0" applyFont="1" applyBorder="1" applyAlignment="1">
      <alignment horizontal="center" vertical="center" wrapText="1"/>
    </xf>
    <xf numFmtId="165" fontId="2" fillId="0" borderId="64" xfId="0" applyNumberFormat="1" applyFont="1" applyBorder="1" applyAlignment="1">
      <alignment horizontal="center" vertical="center" wrapText="1"/>
    </xf>
    <xf numFmtId="0" fontId="28" fillId="0" borderId="3" xfId="0" applyFont="1" applyBorder="1" applyAlignment="1">
      <alignment horizontal="left" wrapText="1"/>
    </xf>
    <xf numFmtId="14" fontId="28" fillId="0" borderId="3" xfId="0" applyNumberFormat="1" applyFont="1" applyBorder="1" applyAlignment="1">
      <alignment horizontal="left" wrapText="1"/>
    </xf>
    <xf numFmtId="0" fontId="28" fillId="0" borderId="8" xfId="0" applyFont="1" applyBorder="1" applyAlignment="1">
      <alignment horizontal="left" wrapText="1"/>
    </xf>
    <xf numFmtId="0" fontId="10" fillId="0" borderId="0" xfId="0" applyFont="1" applyBorder="1" applyAlignment="1">
      <alignment horizontal="left" wrapText="1"/>
    </xf>
    <xf numFmtId="0" fontId="15" fillId="3" borderId="20" xfId="0" applyFont="1" applyFill="1" applyBorder="1" applyAlignment="1" applyProtection="1">
      <alignment horizontal="left" vertical="center" wrapText="1" shrinkToFit="1"/>
      <protection locked="0"/>
    </xf>
    <xf numFmtId="0" fontId="15" fillId="3" borderId="3" xfId="0" applyFont="1" applyFill="1" applyBorder="1" applyAlignment="1" applyProtection="1">
      <alignment horizontal="left" vertical="center" wrapText="1" shrinkToFit="1"/>
      <protection locked="0"/>
    </xf>
    <xf numFmtId="0" fontId="15" fillId="3" borderId="4" xfId="0" applyFont="1" applyFill="1" applyBorder="1" applyAlignment="1" applyProtection="1">
      <alignment horizontal="left" vertical="center" wrapText="1" shrinkToFit="1"/>
      <protection locked="0"/>
    </xf>
    <xf numFmtId="0" fontId="26" fillId="0" borderId="0" xfId="0" applyFont="1" applyBorder="1" applyAlignment="1">
      <alignment horizontal="left" wrapText="1"/>
    </xf>
    <xf numFmtId="0" fontId="1" fillId="0" borderId="21" xfId="0" applyFont="1" applyFill="1" applyBorder="1" applyAlignment="1" applyProtection="1">
      <alignment horizontal="center"/>
      <protection locked="0"/>
    </xf>
    <xf numFmtId="0" fontId="1" fillId="0" borderId="13" xfId="0" applyFont="1" applyBorder="1" applyAlignment="1" applyProtection="1">
      <alignment horizontal="center" vertical="center" wrapText="1"/>
      <protection locked="0"/>
    </xf>
    <xf numFmtId="165" fontId="10" fillId="0" borderId="7" xfId="0" applyNumberFormat="1" applyFont="1" applyBorder="1" applyAlignment="1" applyProtection="1">
      <alignment horizontal="center" vertical="center" wrapText="1"/>
      <protection locked="0"/>
    </xf>
    <xf numFmtId="0" fontId="10" fillId="4" borderId="3" xfId="0" applyFont="1" applyFill="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165" fontId="10" fillId="0" borderId="3" xfId="0" applyNumberFormat="1" applyFont="1" applyBorder="1" applyAlignment="1" applyProtection="1">
      <alignment horizontal="center" vertical="center" wrapText="1"/>
      <protection locked="0"/>
    </xf>
    <xf numFmtId="0" fontId="10" fillId="0" borderId="3"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0" fontId="10" fillId="0" borderId="48" xfId="0" applyFont="1" applyBorder="1" applyAlignment="1" applyProtection="1">
      <alignment horizontal="center" vertical="center" wrapText="1"/>
      <protection locked="0"/>
    </xf>
    <xf numFmtId="0" fontId="10" fillId="0" borderId="13" xfId="0" applyFont="1" applyBorder="1" applyAlignment="1" applyProtection="1">
      <alignment horizontal="center" vertical="center" wrapText="1"/>
      <protection locked="0"/>
    </xf>
    <xf numFmtId="0" fontId="1" fillId="0" borderId="7" xfId="0" applyFont="1" applyBorder="1" applyAlignment="1" applyProtection="1">
      <alignment horizontal="center" vertical="center" wrapText="1"/>
      <protection locked="0"/>
    </xf>
    <xf numFmtId="0" fontId="1" fillId="0" borderId="48" xfId="0" applyFont="1" applyBorder="1" applyAlignment="1" applyProtection="1">
      <alignment horizontal="center" vertical="center" wrapText="1"/>
      <protection locked="0"/>
    </xf>
    <xf numFmtId="0" fontId="1" fillId="0" borderId="7" xfId="0" applyFont="1" applyFill="1" applyBorder="1" applyAlignment="1" applyProtection="1">
      <alignment horizontal="center" vertical="center" wrapText="1"/>
      <protection locked="0"/>
    </xf>
    <xf numFmtId="0" fontId="1" fillId="0" borderId="3" xfId="0" applyFont="1" applyFill="1" applyBorder="1" applyAlignment="1" applyProtection="1">
      <alignment horizontal="center" vertical="center" wrapText="1"/>
      <protection locked="0"/>
    </xf>
    <xf numFmtId="0" fontId="8" fillId="0" borderId="7" xfId="0" applyFont="1" applyBorder="1" applyAlignment="1" applyProtection="1">
      <alignment horizontal="center" vertical="center" wrapText="1"/>
      <protection locked="0"/>
    </xf>
    <xf numFmtId="0" fontId="10" fillId="4" borderId="8" xfId="0" applyFont="1" applyFill="1" applyBorder="1" applyAlignment="1" applyProtection="1">
      <alignment horizontal="center" vertical="center" wrapText="1"/>
      <protection locked="0"/>
    </xf>
    <xf numFmtId="0" fontId="1" fillId="0" borderId="3" xfId="0" applyFont="1" applyFill="1" applyBorder="1" applyAlignment="1" applyProtection="1">
      <protection locked="0"/>
    </xf>
    <xf numFmtId="165" fontId="1" fillId="0" borderId="3" xfId="0" applyNumberFormat="1" applyFont="1" applyBorder="1" applyAlignment="1" applyProtection="1">
      <alignment horizontal="center" vertical="center" wrapText="1"/>
      <protection locked="0"/>
    </xf>
    <xf numFmtId="0" fontId="10" fillId="4" borderId="7" xfId="0" applyFont="1" applyFill="1" applyBorder="1" applyAlignment="1" applyProtection="1">
      <alignment horizontal="center" vertical="center" wrapText="1"/>
      <protection locked="0"/>
    </xf>
    <xf numFmtId="2" fontId="1" fillId="2" borderId="33" xfId="0" applyNumberFormat="1" applyFont="1" applyFill="1" applyBorder="1" applyAlignment="1" applyProtection="1">
      <alignment horizontal="center" vertical="center" wrapText="1"/>
      <protection locked="0"/>
    </xf>
    <xf numFmtId="0" fontId="1" fillId="0" borderId="48" xfId="0" applyFont="1" applyFill="1" applyBorder="1" applyAlignment="1" applyProtection="1">
      <alignment horizontal="center" vertical="center" wrapText="1"/>
      <protection locked="0"/>
    </xf>
    <xf numFmtId="165" fontId="1" fillId="0" borderId="7" xfId="0" applyNumberFormat="1" applyFont="1" applyBorder="1" applyAlignment="1" applyProtection="1">
      <alignment horizontal="center" vertical="center" wrapText="1"/>
      <protection locked="0"/>
    </xf>
    <xf numFmtId="0" fontId="29" fillId="0" borderId="26" xfId="0" applyFont="1" applyBorder="1" applyAlignment="1">
      <alignment horizontal="center" vertical="center" wrapText="1"/>
    </xf>
    <xf numFmtId="15" fontId="29" fillId="0" borderId="26" xfId="0" applyNumberFormat="1" applyFont="1" applyBorder="1" applyAlignment="1">
      <alignment horizontal="center" vertical="center" wrapText="1"/>
    </xf>
    <xf numFmtId="0" fontId="10" fillId="2" borderId="0" xfId="0" applyFont="1" applyFill="1" applyAlignment="1" applyProtection="1">
      <alignment wrapText="1"/>
      <protection locked="0"/>
    </xf>
    <xf numFmtId="0" fontId="10" fillId="0" borderId="0" xfId="0" applyFont="1" applyAlignment="1" applyProtection="1">
      <alignment wrapText="1"/>
      <protection locked="0"/>
    </xf>
    <xf numFmtId="0" fontId="8" fillId="2" borderId="0" xfId="0" applyFont="1" applyFill="1" applyAlignment="1" applyProtection="1">
      <alignment wrapText="1"/>
      <protection locked="0"/>
    </xf>
    <xf numFmtId="0" fontId="8" fillId="0" borderId="0" xfId="0" applyFont="1" applyAlignment="1" applyProtection="1">
      <alignment wrapText="1"/>
      <protection locked="0"/>
    </xf>
    <xf numFmtId="0" fontId="8" fillId="0" borderId="0" xfId="0" applyFont="1" applyFill="1" applyAlignment="1" applyProtection="1">
      <alignment wrapText="1"/>
      <protection locked="0"/>
    </xf>
    <xf numFmtId="0" fontId="0" fillId="6" borderId="0" xfId="0" applyFill="1" applyAlignment="1" applyProtection="1">
      <alignment wrapText="1"/>
      <protection locked="0"/>
    </xf>
    <xf numFmtId="0" fontId="10" fillId="2" borderId="0" xfId="0" applyFont="1" applyFill="1"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1" fillId="0" borderId="3" xfId="0" applyFont="1" applyBorder="1" applyAlignment="1">
      <alignment horizontal="center" vertical="center" wrapText="1"/>
    </xf>
    <xf numFmtId="0" fontId="10" fillId="2" borderId="3" xfId="0" applyFont="1" applyFill="1" applyBorder="1" applyAlignment="1" applyProtection="1">
      <alignment horizontal="center" vertical="center" wrapText="1"/>
      <protection locked="0"/>
    </xf>
    <xf numFmtId="0" fontId="1" fillId="0" borderId="0" xfId="0" applyFont="1" applyAlignment="1">
      <alignment horizontal="center" vertical="center" wrapText="1"/>
    </xf>
    <xf numFmtId="0" fontId="1" fillId="0" borderId="13" xfId="0" applyFont="1" applyBorder="1" applyAlignment="1">
      <alignment horizontal="center" vertical="center" wrapText="1"/>
    </xf>
    <xf numFmtId="0" fontId="10" fillId="2" borderId="13" xfId="0" applyFont="1" applyFill="1" applyBorder="1" applyAlignment="1" applyProtection="1">
      <alignment horizontal="center" vertical="center" wrapText="1"/>
      <protection locked="0"/>
    </xf>
    <xf numFmtId="0" fontId="8" fillId="2" borderId="0" xfId="0" applyFont="1" applyFill="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8" fillId="2" borderId="3" xfId="0"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8" fillId="0" borderId="13" xfId="0" applyFont="1" applyBorder="1" applyAlignment="1" applyProtection="1">
      <alignment horizontal="center" vertical="center" wrapText="1"/>
      <protection locked="0"/>
    </xf>
    <xf numFmtId="0" fontId="8" fillId="2" borderId="13" xfId="0" applyFont="1" applyFill="1" applyBorder="1" applyAlignment="1" applyProtection="1">
      <alignment horizontal="center" vertical="center" wrapText="1"/>
      <protection locked="0"/>
    </xf>
    <xf numFmtId="0" fontId="8" fillId="0" borderId="0" xfId="0" applyFont="1" applyFill="1" applyAlignment="1" applyProtection="1">
      <alignment horizontal="center" vertical="center" wrapText="1"/>
      <protection locked="0"/>
    </xf>
    <xf numFmtId="0" fontId="10" fillId="2" borderId="0" xfId="0" applyFont="1" applyFill="1" applyBorder="1" applyAlignment="1" applyProtection="1">
      <alignment horizontal="center" vertical="center" wrapText="1"/>
      <protection locked="0"/>
    </xf>
    <xf numFmtId="0" fontId="10" fillId="0" borderId="0" xfId="0" applyFont="1" applyBorder="1" applyAlignment="1" applyProtection="1">
      <alignment horizontal="center" vertical="center" wrapText="1"/>
      <protection locked="0"/>
    </xf>
    <xf numFmtId="0" fontId="10" fillId="9" borderId="48" xfId="0" applyFont="1" applyFill="1" applyBorder="1" applyAlignment="1" applyProtection="1">
      <alignment horizontal="center" vertical="center" wrapText="1"/>
      <protection locked="0"/>
    </xf>
    <xf numFmtId="0" fontId="1" fillId="0" borderId="8" xfId="0" applyFont="1" applyFill="1" applyBorder="1" applyAlignment="1" applyProtection="1">
      <alignment horizontal="center"/>
      <protection locked="0"/>
    </xf>
    <xf numFmtId="0" fontId="1" fillId="0" borderId="13" xfId="0" applyFont="1" applyFill="1" applyBorder="1" applyProtection="1">
      <protection locked="0"/>
    </xf>
    <xf numFmtId="0" fontId="1" fillId="0" borderId="3" xfId="0" applyFont="1" applyFill="1" applyBorder="1" applyProtection="1">
      <protection locked="0"/>
    </xf>
    <xf numFmtId="0" fontId="1" fillId="0" borderId="4" xfId="0" applyFont="1" applyFill="1" applyBorder="1" applyProtection="1">
      <protection locked="0"/>
    </xf>
    <xf numFmtId="0" fontId="1" fillId="0" borderId="25" xfId="0" applyFont="1" applyFill="1" applyBorder="1" applyAlignment="1" applyProtection="1">
      <alignment horizontal="center"/>
      <protection locked="0"/>
    </xf>
    <xf numFmtId="0" fontId="10" fillId="0" borderId="33" xfId="0" applyFont="1" applyBorder="1" applyAlignment="1" applyProtection="1">
      <alignment horizontal="center" vertical="center" wrapText="1"/>
      <protection locked="0"/>
    </xf>
    <xf numFmtId="0" fontId="29" fillId="0" borderId="26" xfId="0" applyFont="1" applyBorder="1" applyAlignment="1">
      <alignment horizontal="left" vertical="center" wrapText="1"/>
    </xf>
    <xf numFmtId="0" fontId="1" fillId="0" borderId="3" xfId="1" applyFont="1" applyBorder="1" applyAlignment="1" applyProtection="1">
      <alignment horizontal="center" vertical="center" wrapText="1"/>
      <protection locked="0"/>
    </xf>
    <xf numFmtId="0" fontId="1" fillId="0" borderId="3" xfId="1" applyFont="1" applyFill="1" applyBorder="1" applyAlignment="1" applyProtection="1">
      <alignment horizontal="center" vertical="center" wrapText="1"/>
      <protection locked="0"/>
    </xf>
    <xf numFmtId="0" fontId="1" fillId="4" borderId="7" xfId="0" applyFont="1" applyFill="1" applyBorder="1" applyAlignment="1" applyProtection="1">
      <alignment horizontal="center" vertical="center" wrapText="1"/>
      <protection locked="0"/>
    </xf>
    <xf numFmtId="165" fontId="1" fillId="0" borderId="48" xfId="0" applyNumberFormat="1" applyFont="1" applyBorder="1" applyAlignment="1" applyProtection="1">
      <alignment horizontal="center" vertical="center" wrapText="1"/>
      <protection locked="0"/>
    </xf>
    <xf numFmtId="0" fontId="1" fillId="0" borderId="0" xfId="0" applyFont="1" applyAlignment="1">
      <alignment vertical="center" wrapText="1"/>
    </xf>
    <xf numFmtId="0" fontId="1" fillId="9" borderId="48" xfId="0" applyFont="1" applyFill="1" applyBorder="1" applyAlignment="1" applyProtection="1">
      <alignment horizontal="center" vertical="center" wrapText="1"/>
      <protection locked="0"/>
    </xf>
    <xf numFmtId="0" fontId="1" fillId="0" borderId="57" xfId="0" applyFont="1" applyBorder="1" applyAlignment="1" applyProtection="1">
      <alignment horizontal="center" vertical="center" wrapText="1"/>
      <protection locked="0"/>
    </xf>
    <xf numFmtId="0" fontId="1" fillId="0" borderId="25" xfId="0" applyFont="1" applyBorder="1" applyAlignment="1" applyProtection="1">
      <alignment horizontal="center" vertical="center" wrapText="1"/>
      <protection locked="0"/>
    </xf>
    <xf numFmtId="0" fontId="1" fillId="0" borderId="48" xfId="0" applyFont="1" applyBorder="1" applyAlignment="1">
      <alignment horizontal="center" vertical="center" wrapText="1"/>
    </xf>
    <xf numFmtId="165" fontId="1" fillId="0" borderId="13" xfId="0" applyNumberFormat="1" applyFont="1" applyBorder="1" applyAlignment="1" applyProtection="1">
      <alignment horizontal="center" vertical="center" wrapText="1"/>
      <protection locked="0"/>
    </xf>
    <xf numFmtId="0" fontId="30" fillId="0" borderId="3" xfId="0" applyFont="1" applyBorder="1" applyAlignment="1">
      <alignment vertical="center"/>
    </xf>
    <xf numFmtId="0" fontId="5" fillId="0" borderId="0" xfId="0" applyFont="1" applyAlignment="1">
      <alignment horizontal="center" vertical="top" wrapText="1"/>
    </xf>
    <xf numFmtId="0" fontId="2" fillId="0" borderId="0" xfId="0" applyFont="1" applyAlignment="1">
      <alignment horizontal="center" vertical="top" wrapText="1"/>
    </xf>
    <xf numFmtId="164" fontId="2" fillId="0" borderId="22" xfId="0" applyNumberFormat="1" applyFont="1" applyBorder="1" applyAlignment="1">
      <alignment horizontal="center" vertical="center" wrapText="1"/>
    </xf>
    <xf numFmtId="0" fontId="0" fillId="0" borderId="15" xfId="0" applyBorder="1" applyAlignment="1">
      <alignment horizontal="center" vertical="center" wrapText="1"/>
    </xf>
    <xf numFmtId="165" fontId="2" fillId="0" borderId="7" xfId="0" applyNumberFormat="1" applyFont="1" applyBorder="1" applyAlignment="1">
      <alignment horizontal="center" vertical="center" wrapText="1"/>
    </xf>
    <xf numFmtId="165" fontId="0" fillId="0" borderId="13" xfId="0" applyNumberFormat="1" applyBorder="1" applyAlignment="1">
      <alignment horizontal="center" vertical="center" wrapText="1"/>
    </xf>
    <xf numFmtId="0" fontId="2" fillId="0" borderId="43" xfId="0" applyFont="1" applyBorder="1" applyAlignment="1">
      <alignment horizontal="center" vertical="center" wrapText="1"/>
    </xf>
    <xf numFmtId="0" fontId="2" fillId="0" borderId="58"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60" xfId="0" applyFont="1" applyBorder="1" applyAlignment="1">
      <alignment horizontal="center" vertical="center" wrapText="1"/>
    </xf>
    <xf numFmtId="0" fontId="0" fillId="0" borderId="63" xfId="0" applyBorder="1" applyAlignment="1">
      <alignment horizontal="center" vertical="center" wrapText="1"/>
    </xf>
    <xf numFmtId="165" fontId="0" fillId="0" borderId="56" xfId="0" applyNumberFormat="1" applyBorder="1" applyAlignment="1">
      <alignment horizontal="center" vertical="center" wrapText="1"/>
    </xf>
    <xf numFmtId="0" fontId="2" fillId="0" borderId="6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0" xfId="0" applyFont="1" applyBorder="1" applyAlignment="1">
      <alignment horizontal="center" vertical="top" wrapText="1"/>
    </xf>
    <xf numFmtId="0" fontId="23" fillId="0" borderId="0" xfId="0" applyFont="1" applyAlignment="1">
      <alignment horizontal="center" vertical="top" wrapText="1"/>
    </xf>
    <xf numFmtId="0" fontId="24" fillId="0" borderId="0" xfId="0" applyFont="1" applyAlignment="1">
      <alignment horizontal="center" vertical="top" wrapText="1"/>
    </xf>
    <xf numFmtId="0" fontId="5" fillId="4" borderId="27" xfId="0" applyFont="1" applyFill="1" applyBorder="1" applyAlignment="1" applyProtection="1">
      <alignment horizontal="center" vertical="center" wrapText="1"/>
      <protection locked="0"/>
    </xf>
    <xf numFmtId="0" fontId="5" fillId="4" borderId="28" xfId="0" applyFont="1" applyFill="1" applyBorder="1" applyAlignment="1" applyProtection="1">
      <alignment horizontal="center" vertical="center" wrapText="1"/>
      <protection locked="0"/>
    </xf>
    <xf numFmtId="0" fontId="20" fillId="0" borderId="0" xfId="0" applyFont="1" applyFill="1" applyBorder="1" applyAlignment="1">
      <alignment horizontal="center"/>
    </xf>
    <xf numFmtId="0" fontId="20" fillId="0" borderId="2" xfId="0" applyFont="1" applyFill="1" applyBorder="1" applyAlignment="1">
      <alignment horizontal="center"/>
    </xf>
    <xf numFmtId="0" fontId="4" fillId="0" borderId="1" xfId="0" applyFont="1" applyBorder="1" applyAlignment="1">
      <alignment horizontal="center" vertical="top" wrapText="1"/>
    </xf>
    <xf numFmtId="0" fontId="4" fillId="0" borderId="0" xfId="0" applyFont="1" applyBorder="1" applyAlignment="1">
      <alignment horizontal="center" vertical="top" wrapText="1"/>
    </xf>
    <xf numFmtId="0" fontId="4" fillId="0" borderId="2" xfId="0" applyFont="1" applyBorder="1" applyAlignment="1">
      <alignment horizontal="center" vertical="top" wrapText="1"/>
    </xf>
    <xf numFmtId="164" fontId="2" fillId="0" borderId="1" xfId="0" applyNumberFormat="1" applyFont="1" applyBorder="1" applyAlignment="1">
      <alignment horizontal="center" vertical="top" wrapText="1"/>
    </xf>
    <xf numFmtId="164" fontId="2" fillId="0" borderId="0" xfId="0" applyNumberFormat="1" applyFont="1" applyBorder="1" applyAlignment="1">
      <alignment horizontal="center" vertical="top" wrapText="1"/>
    </xf>
    <xf numFmtId="164" fontId="2" fillId="0" borderId="2" xfId="0" applyNumberFormat="1" applyFont="1" applyBorder="1" applyAlignment="1">
      <alignment horizontal="center" vertical="top" wrapText="1"/>
    </xf>
    <xf numFmtId="0" fontId="10" fillId="7" borderId="29" xfId="0" applyFont="1" applyFill="1" applyBorder="1" applyAlignment="1" applyProtection="1">
      <alignment horizontal="left"/>
    </xf>
    <xf numFmtId="0" fontId="10" fillId="7" borderId="30" xfId="0" applyFont="1" applyFill="1" applyBorder="1" applyAlignment="1" applyProtection="1">
      <alignment horizontal="left"/>
    </xf>
    <xf numFmtId="0" fontId="10" fillId="7" borderId="31" xfId="0" applyFont="1" applyFill="1" applyBorder="1" applyAlignment="1" applyProtection="1">
      <alignment horizontal="left"/>
    </xf>
    <xf numFmtId="0" fontId="10" fillId="7" borderId="27" xfId="0" applyFont="1" applyFill="1" applyBorder="1" applyAlignment="1" applyProtection="1">
      <alignment horizontal="center"/>
    </xf>
    <xf numFmtId="0" fontId="10" fillId="7" borderId="32" xfId="0" applyFont="1" applyFill="1" applyBorder="1" applyAlignment="1" applyProtection="1">
      <alignment horizontal="center"/>
    </xf>
    <xf numFmtId="0" fontId="10" fillId="7" borderId="24" xfId="0" applyFont="1" applyFill="1" applyBorder="1" applyAlignment="1" applyProtection="1">
      <alignment horizontal="center"/>
    </xf>
    <xf numFmtId="0" fontId="1" fillId="0" borderId="8" xfId="0" applyFont="1" applyFill="1" applyBorder="1" applyAlignment="1" applyProtection="1">
      <alignment horizontal="center"/>
      <protection locked="0"/>
    </xf>
    <xf numFmtId="0" fontId="1" fillId="0" borderId="25" xfId="0" applyFont="1" applyFill="1" applyBorder="1" applyAlignment="1" applyProtection="1">
      <alignment horizontal="center"/>
      <protection locked="0"/>
    </xf>
    <xf numFmtId="0" fontId="1" fillId="0" borderId="33" xfId="0" applyFont="1" applyFill="1" applyBorder="1" applyAlignment="1" applyProtection="1">
      <alignment horizontal="center"/>
      <protection locked="0"/>
    </xf>
    <xf numFmtId="0" fontId="0" fillId="0" borderId="25" xfId="0" applyFill="1" applyBorder="1" applyAlignment="1" applyProtection="1">
      <alignment horizontal="center"/>
      <protection locked="0"/>
    </xf>
    <xf numFmtId="0" fontId="0" fillId="0" borderId="33" xfId="0" applyFill="1" applyBorder="1" applyAlignment="1" applyProtection="1">
      <alignment horizontal="center"/>
      <protection locked="0"/>
    </xf>
    <xf numFmtId="0" fontId="1" fillId="0" borderId="25" xfId="0" applyFont="1" applyFill="1" applyBorder="1" applyAlignment="1" applyProtection="1">
      <alignment horizontal="center" wrapText="1"/>
      <protection locked="0"/>
    </xf>
    <xf numFmtId="0" fontId="1" fillId="0" borderId="33" xfId="0" applyFont="1" applyFill="1" applyBorder="1" applyAlignment="1" applyProtection="1">
      <alignment horizontal="center" wrapText="1"/>
      <protection locked="0"/>
    </xf>
    <xf numFmtId="0" fontId="10" fillId="7" borderId="34" xfId="0" applyFont="1" applyFill="1" applyBorder="1" applyAlignment="1" applyProtection="1">
      <alignment horizontal="center" vertical="center" wrapText="1"/>
    </xf>
    <xf numFmtId="0" fontId="10" fillId="7" borderId="11" xfId="0" applyFont="1" applyFill="1" applyBorder="1" applyAlignment="1" applyProtection="1">
      <alignment horizontal="center" vertical="center" wrapText="1"/>
    </xf>
    <xf numFmtId="0" fontId="10" fillId="7" borderId="20" xfId="0" applyFont="1" applyFill="1" applyBorder="1" applyAlignment="1" applyProtection="1">
      <alignment horizontal="left"/>
    </xf>
    <xf numFmtId="0" fontId="10" fillId="7" borderId="3" xfId="0" applyFont="1" applyFill="1" applyBorder="1" applyAlignment="1" applyProtection="1">
      <alignment horizontal="left"/>
    </xf>
    <xf numFmtId="0" fontId="8" fillId="7" borderId="29" xfId="0" applyFont="1" applyFill="1" applyBorder="1" applyAlignment="1" applyProtection="1">
      <alignment horizontal="center"/>
    </xf>
    <xf numFmtId="0" fontId="8" fillId="7" borderId="30" xfId="0" applyFont="1" applyFill="1" applyBorder="1" applyAlignment="1" applyProtection="1">
      <alignment horizontal="center"/>
    </xf>
    <xf numFmtId="0" fontId="8" fillId="7" borderId="31" xfId="0" applyFont="1" applyFill="1" applyBorder="1" applyAlignment="1" applyProtection="1">
      <alignment horizontal="center"/>
    </xf>
    <xf numFmtId="0" fontId="1" fillId="0" borderId="17" xfId="0" applyFont="1" applyFill="1" applyBorder="1" applyAlignment="1" applyProtection="1">
      <alignment horizontal="center"/>
      <protection locked="0"/>
    </xf>
    <xf numFmtId="0" fontId="0" fillId="0" borderId="17" xfId="0" applyFill="1" applyBorder="1" applyAlignment="1" applyProtection="1">
      <alignment horizontal="center"/>
      <protection locked="0"/>
    </xf>
    <xf numFmtId="0" fontId="8" fillId="7" borderId="35" xfId="0" applyFont="1" applyFill="1" applyBorder="1" applyAlignment="1" applyProtection="1">
      <alignment horizontal="center"/>
    </xf>
    <xf numFmtId="0" fontId="8" fillId="7" borderId="36" xfId="0" applyFont="1" applyFill="1" applyBorder="1" applyAlignment="1" applyProtection="1">
      <alignment horizontal="center"/>
    </xf>
    <xf numFmtId="0" fontId="8" fillId="7" borderId="37" xfId="0" applyFont="1" applyFill="1" applyBorder="1" applyAlignment="1" applyProtection="1">
      <alignment horizontal="center"/>
    </xf>
    <xf numFmtId="0" fontId="0" fillId="0" borderId="8" xfId="0" applyFill="1" applyBorder="1" applyAlignment="1" applyProtection="1">
      <alignment horizontal="left" vertical="center"/>
      <protection locked="0"/>
    </xf>
    <xf numFmtId="0" fontId="0" fillId="0" borderId="25" xfId="0" applyFill="1" applyBorder="1" applyAlignment="1" applyProtection="1">
      <alignment horizontal="left" vertical="center"/>
      <protection locked="0"/>
    </xf>
    <xf numFmtId="0" fontId="0" fillId="0" borderId="17" xfId="0" applyFill="1" applyBorder="1" applyAlignment="1" applyProtection="1">
      <alignment horizontal="left" vertical="center"/>
      <protection locked="0"/>
    </xf>
    <xf numFmtId="0" fontId="10" fillId="0" borderId="38" xfId="0" applyFont="1" applyFill="1" applyBorder="1" applyAlignment="1" applyProtection="1">
      <alignment horizontal="left" vertical="center" wrapText="1"/>
      <protection locked="0"/>
    </xf>
    <xf numFmtId="0" fontId="10" fillId="0" borderId="39" xfId="0" applyFont="1" applyFill="1" applyBorder="1" applyAlignment="1" applyProtection="1">
      <alignment horizontal="left" vertical="center" wrapText="1"/>
      <protection locked="0"/>
    </xf>
    <xf numFmtId="0" fontId="0" fillId="0" borderId="40" xfId="0" applyFill="1" applyBorder="1" applyAlignment="1" applyProtection="1">
      <alignment horizontal="left" vertical="center" wrapText="1"/>
      <protection locked="0"/>
    </xf>
    <xf numFmtId="0" fontId="10" fillId="7" borderId="15" xfId="0" applyFont="1" applyFill="1" applyBorder="1" applyAlignment="1" applyProtection="1">
      <alignment horizontal="left"/>
    </xf>
    <xf numFmtId="0" fontId="10" fillId="7" borderId="13" xfId="0" applyFont="1" applyFill="1" applyBorder="1" applyAlignment="1" applyProtection="1">
      <alignment horizontal="left"/>
    </xf>
    <xf numFmtId="0" fontId="0" fillId="0" borderId="7" xfId="0" applyFill="1" applyBorder="1" applyAlignment="1" applyProtection="1">
      <alignment horizontal="center"/>
      <protection locked="0"/>
    </xf>
    <xf numFmtId="1" fontId="10" fillId="7" borderId="8" xfId="0" applyNumberFormat="1" applyFont="1" applyFill="1" applyBorder="1" applyAlignment="1" applyProtection="1">
      <alignment horizontal="center"/>
    </xf>
    <xf numFmtId="0" fontId="10" fillId="7" borderId="25" xfId="0" applyFont="1" applyFill="1" applyBorder="1" applyAlignment="1" applyProtection="1">
      <alignment horizontal="center"/>
    </xf>
    <xf numFmtId="0" fontId="10" fillId="7" borderId="17" xfId="0" applyFont="1" applyFill="1" applyBorder="1" applyAlignment="1" applyProtection="1">
      <alignment horizontal="center"/>
    </xf>
    <xf numFmtId="0" fontId="1" fillId="0" borderId="3" xfId="0" applyFont="1" applyFill="1" applyBorder="1" applyAlignment="1" applyProtection="1">
      <alignment horizontal="center"/>
      <protection locked="0"/>
    </xf>
    <xf numFmtId="0" fontId="0" fillId="0" borderId="3" xfId="0" applyFill="1" applyBorder="1" applyAlignment="1" applyProtection="1">
      <alignment horizontal="center"/>
      <protection locked="0"/>
    </xf>
    <xf numFmtId="0" fontId="10" fillId="7" borderId="41" xfId="0" applyFont="1" applyFill="1" applyBorder="1" applyAlignment="1" applyProtection="1">
      <alignment horizontal="center" vertical="center"/>
    </xf>
    <xf numFmtId="0" fontId="10" fillId="7" borderId="42" xfId="0" applyFont="1" applyFill="1" applyBorder="1" applyAlignment="1" applyProtection="1">
      <alignment horizontal="center" vertical="center"/>
    </xf>
    <xf numFmtId="0" fontId="1" fillId="0" borderId="8" xfId="0" applyFont="1" applyFill="1" applyBorder="1" applyAlignment="1" applyProtection="1">
      <alignment horizontal="center" vertical="center"/>
      <protection locked="0"/>
    </xf>
    <xf numFmtId="0" fontId="0" fillId="0" borderId="33" xfId="0" applyFill="1" applyBorder="1" applyAlignment="1" applyProtection="1">
      <alignment horizontal="center" vertical="center"/>
      <protection locked="0"/>
    </xf>
    <xf numFmtId="0" fontId="10" fillId="0" borderId="8" xfId="0" applyFont="1" applyFill="1"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8" fillId="7" borderId="44" xfId="0" applyFont="1" applyFill="1" applyBorder="1" applyAlignment="1" applyProtection="1">
      <alignment horizontal="center"/>
    </xf>
    <xf numFmtId="0" fontId="8" fillId="7" borderId="21" xfId="0" applyFont="1" applyFill="1" applyBorder="1" applyAlignment="1" applyProtection="1">
      <alignment horizontal="center"/>
    </xf>
    <xf numFmtId="0" fontId="8" fillId="7" borderId="45" xfId="0" applyFont="1" applyFill="1" applyBorder="1" applyAlignment="1" applyProtection="1">
      <alignment horizontal="center"/>
    </xf>
    <xf numFmtId="0" fontId="8" fillId="7" borderId="46" xfId="0" applyFont="1" applyFill="1" applyBorder="1" applyAlignment="1" applyProtection="1">
      <alignment horizontal="center"/>
    </xf>
    <xf numFmtId="0" fontId="10" fillId="7" borderId="13" xfId="0" applyFont="1" applyFill="1" applyBorder="1" applyAlignment="1" applyProtection="1">
      <alignment horizontal="center"/>
    </xf>
    <xf numFmtId="0" fontId="8" fillId="7" borderId="44" xfId="0" applyFont="1" applyFill="1" applyBorder="1" applyAlignment="1" applyProtection="1">
      <alignment horizontal="left"/>
    </xf>
    <xf numFmtId="0" fontId="8" fillId="7" borderId="21" xfId="0" applyFont="1" applyFill="1" applyBorder="1" applyAlignment="1" applyProtection="1">
      <alignment horizontal="left"/>
    </xf>
    <xf numFmtId="0" fontId="1" fillId="0" borderId="21" xfId="0" applyFont="1" applyFill="1" applyBorder="1" applyAlignment="1" applyProtection="1">
      <alignment horizontal="center"/>
      <protection locked="0"/>
    </xf>
    <xf numFmtId="0" fontId="10" fillId="0" borderId="45" xfId="0" applyFont="1" applyFill="1" applyBorder="1" applyAlignment="1" applyProtection="1">
      <alignment horizontal="center"/>
      <protection locked="0"/>
    </xf>
    <xf numFmtId="0" fontId="10" fillId="0" borderId="46" xfId="0" applyFont="1" applyFill="1" applyBorder="1" applyAlignment="1" applyProtection="1">
      <alignment horizontal="center"/>
      <protection locked="0"/>
    </xf>
    <xf numFmtId="0" fontId="8" fillId="7" borderId="47" xfId="0" applyFont="1" applyFill="1" applyBorder="1" applyAlignment="1" applyProtection="1">
      <alignment horizontal="center"/>
    </xf>
    <xf numFmtId="0" fontId="8" fillId="7" borderId="48" xfId="0" applyFont="1" applyFill="1" applyBorder="1" applyAlignment="1" applyProtection="1">
      <alignment horizontal="center"/>
    </xf>
    <xf numFmtId="0" fontId="8" fillId="7" borderId="12" xfId="0" applyFont="1" applyFill="1" applyBorder="1" applyAlignment="1" applyProtection="1">
      <alignment horizontal="center"/>
    </xf>
    <xf numFmtId="0" fontId="8" fillId="7" borderId="49" xfId="0" applyFont="1" applyFill="1" applyBorder="1" applyAlignment="1" applyProtection="1">
      <alignment horizontal="center"/>
    </xf>
    <xf numFmtId="0" fontId="10" fillId="7" borderId="50" xfId="0" applyFont="1" applyFill="1" applyBorder="1" applyAlignment="1" applyProtection="1">
      <alignment horizontal="center"/>
    </xf>
    <xf numFmtId="0" fontId="10" fillId="7" borderId="51" xfId="0" applyFont="1" applyFill="1" applyBorder="1" applyAlignment="1" applyProtection="1">
      <alignment horizontal="center"/>
    </xf>
    <xf numFmtId="0" fontId="10" fillId="7" borderId="52" xfId="0" applyFont="1" applyFill="1" applyBorder="1" applyAlignment="1" applyProtection="1">
      <alignment horizontal="center"/>
    </xf>
    <xf numFmtId="0" fontId="10" fillId="7" borderId="53" xfId="0" applyFont="1" applyFill="1" applyBorder="1" applyAlignment="1" applyProtection="1">
      <alignment horizontal="center"/>
    </xf>
    <xf numFmtId="0" fontId="10" fillId="0" borderId="8" xfId="0" applyFont="1" applyFill="1" applyBorder="1" applyAlignment="1" applyProtection="1">
      <alignment horizontal="center" vertical="center"/>
      <protection locked="0"/>
    </xf>
    <xf numFmtId="0" fontId="0" fillId="0" borderId="8" xfId="0" applyFill="1" applyBorder="1" applyAlignment="1" applyProtection="1">
      <alignment horizontal="center"/>
      <protection locked="0"/>
    </xf>
    <xf numFmtId="0" fontId="10" fillId="7" borderId="28" xfId="0" applyFont="1" applyFill="1" applyBorder="1" applyAlignment="1" applyProtection="1">
      <alignment horizontal="center"/>
    </xf>
    <xf numFmtId="0" fontId="11" fillId="4" borderId="44" xfId="0" applyFont="1" applyFill="1" applyBorder="1" applyAlignment="1">
      <alignment horizontal="center" vertical="center" wrapText="1"/>
    </xf>
    <xf numFmtId="0" fontId="11" fillId="4" borderId="54"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45" xfId="0" applyFont="1" applyFill="1" applyBorder="1" applyAlignment="1">
      <alignment horizontal="center" vertical="center" wrapText="1"/>
    </xf>
    <xf numFmtId="0" fontId="11" fillId="4" borderId="46" xfId="0" applyFont="1" applyFill="1" applyBorder="1" applyAlignment="1">
      <alignment horizontal="center" vertical="center" wrapText="1"/>
    </xf>
    <xf numFmtId="0" fontId="18" fillId="4" borderId="15" xfId="0" applyFont="1" applyFill="1" applyBorder="1" applyAlignment="1">
      <alignment horizontal="center" vertical="center" wrapText="1"/>
    </xf>
    <xf numFmtId="0" fontId="18" fillId="4" borderId="11"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10" fillId="4" borderId="27" xfId="0" applyFont="1" applyFill="1" applyBorder="1" applyAlignment="1">
      <alignment horizontal="left" vertical="center" wrapText="1"/>
    </xf>
    <xf numFmtId="0" fontId="10" fillId="4" borderId="32" xfId="0" applyFont="1" applyFill="1" applyBorder="1" applyAlignment="1">
      <alignment horizontal="left" vertical="center" wrapText="1"/>
    </xf>
    <xf numFmtId="0" fontId="10" fillId="4" borderId="28" xfId="0" applyFont="1" applyFill="1" applyBorder="1" applyAlignment="1">
      <alignment horizontal="left" vertical="center" wrapText="1"/>
    </xf>
    <xf numFmtId="0" fontId="18" fillId="4" borderId="20" xfId="0" applyFont="1" applyFill="1" applyBorder="1" applyAlignment="1">
      <alignment horizontal="center" vertical="center" wrapText="1"/>
    </xf>
    <xf numFmtId="0" fontId="18" fillId="4" borderId="33"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7" fillId="0" borderId="3" xfId="0" applyFont="1" applyFill="1" applyBorder="1" applyAlignment="1">
      <alignment horizontal="center" vertical="center" wrapText="1"/>
    </xf>
    <xf numFmtId="0" fontId="17" fillId="0" borderId="8" xfId="0" applyFont="1" applyFill="1" applyBorder="1" applyAlignment="1">
      <alignment horizontal="center" vertical="center" wrapText="1"/>
    </xf>
    <xf numFmtId="0" fontId="17" fillId="0" borderId="4"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22" fillId="0" borderId="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55"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48" xfId="0" applyFont="1" applyBorder="1" applyAlignment="1">
      <alignment horizontal="center" vertical="center" wrapText="1"/>
    </xf>
    <xf numFmtId="0" fontId="22" fillId="0" borderId="56" xfId="0" applyFont="1" applyBorder="1" applyAlignment="1">
      <alignment horizontal="center" vertical="center" wrapText="1"/>
    </xf>
    <xf numFmtId="0" fontId="13" fillId="4" borderId="8" xfId="0" applyFont="1" applyFill="1" applyBorder="1" applyAlignment="1">
      <alignment horizontal="center" vertical="center" wrapText="1"/>
    </xf>
    <xf numFmtId="0" fontId="13" fillId="4" borderId="25" xfId="0" applyFont="1" applyFill="1" applyBorder="1" applyAlignment="1">
      <alignment horizontal="center" vertical="center" wrapText="1"/>
    </xf>
    <xf numFmtId="0" fontId="13" fillId="4" borderId="17" xfId="0" applyFont="1" applyFill="1" applyBorder="1" applyAlignment="1">
      <alignment horizontal="center" vertical="center" wrapText="1"/>
    </xf>
    <xf numFmtId="0" fontId="10" fillId="4" borderId="43" xfId="0" applyFont="1" applyFill="1" applyBorder="1" applyAlignment="1">
      <alignment vertical="center" wrapText="1"/>
    </xf>
    <xf numFmtId="0" fontId="10" fillId="4" borderId="57" xfId="0" applyFont="1" applyFill="1" applyBorder="1" applyAlignment="1">
      <alignment vertical="center" wrapText="1"/>
    </xf>
    <xf numFmtId="0" fontId="10" fillId="4" borderId="58" xfId="0" applyFont="1" applyFill="1" applyBorder="1" applyAlignment="1">
      <alignment vertical="center" wrapText="1"/>
    </xf>
    <xf numFmtId="0" fontId="10" fillId="4" borderId="59" xfId="0" applyFont="1" applyFill="1" applyBorder="1" applyAlignment="1">
      <alignment vertical="center" wrapText="1"/>
    </xf>
    <xf numFmtId="0" fontId="10" fillId="4" borderId="18" xfId="0" applyFont="1" applyFill="1" applyBorder="1" applyAlignment="1">
      <alignment vertical="center" wrapText="1"/>
    </xf>
    <xf numFmtId="0" fontId="10" fillId="4" borderId="60" xfId="0" applyFont="1" applyFill="1" applyBorder="1" applyAlignment="1">
      <alignment vertical="center" wrapText="1"/>
    </xf>
    <xf numFmtId="0" fontId="10" fillId="5" borderId="3" xfId="0" applyFont="1" applyFill="1" applyBorder="1" applyAlignment="1">
      <alignment horizontal="center" vertical="center" wrapText="1"/>
    </xf>
    <xf numFmtId="0" fontId="13" fillId="4" borderId="5" xfId="0" applyFont="1" applyFill="1" applyBorder="1" applyAlignment="1">
      <alignment horizontal="center" vertical="center" wrapText="1"/>
    </xf>
    <xf numFmtId="0" fontId="13" fillId="4" borderId="11"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 fillId="0" borderId="25" xfId="0" applyNumberFormat="1" applyFont="1" applyFill="1" applyBorder="1" applyAlignment="1" applyProtection="1">
      <alignment horizontal="center" vertical="center" wrapText="1"/>
    </xf>
    <xf numFmtId="0" fontId="10" fillId="0" borderId="25" xfId="0" applyNumberFormat="1" applyFont="1" applyFill="1" applyBorder="1" applyAlignment="1" applyProtection="1">
      <alignment horizontal="center" vertical="center" wrapText="1"/>
    </xf>
    <xf numFmtId="0" fontId="10" fillId="0" borderId="33" xfId="0" applyNumberFormat="1" applyFont="1" applyFill="1" applyBorder="1" applyAlignment="1" applyProtection="1">
      <alignment horizontal="center" vertical="center" wrapText="1"/>
    </xf>
    <xf numFmtId="0" fontId="10" fillId="0" borderId="25" xfId="0" applyFont="1" applyBorder="1" applyAlignment="1" applyProtection="1">
      <alignment horizontal="center" vertical="center" wrapText="1"/>
      <protection locked="0"/>
    </xf>
    <xf numFmtId="0" fontId="10" fillId="0" borderId="33" xfId="0" applyFont="1" applyBorder="1" applyAlignment="1" applyProtection="1">
      <alignment horizontal="center" vertical="center" wrapText="1"/>
      <protection locked="0"/>
    </xf>
    <xf numFmtId="0" fontId="10" fillId="4" borderId="8" xfId="0" applyFont="1" applyFill="1" applyBorder="1" applyAlignment="1" applyProtection="1">
      <alignment horizontal="center" vertical="center" wrapText="1"/>
      <protection locked="0"/>
    </xf>
    <xf numFmtId="0" fontId="10" fillId="4" borderId="33" xfId="0" applyFont="1" applyFill="1" applyBorder="1" applyAlignment="1" applyProtection="1">
      <alignment horizontal="center" vertical="center" wrapText="1"/>
      <protection locked="0"/>
    </xf>
    <xf numFmtId="1" fontId="10" fillId="0" borderId="8" xfId="0" applyNumberFormat="1" applyFont="1" applyFill="1" applyBorder="1" applyAlignment="1" applyProtection="1">
      <alignment horizontal="center" vertical="center" wrapText="1"/>
    </xf>
    <xf numFmtId="1" fontId="10" fillId="0" borderId="25" xfId="0" applyNumberFormat="1" applyFont="1" applyFill="1" applyBorder="1" applyAlignment="1" applyProtection="1">
      <alignment horizontal="center" vertical="center" wrapText="1"/>
    </xf>
    <xf numFmtId="1" fontId="10" fillId="0" borderId="33" xfId="0" applyNumberFormat="1" applyFont="1" applyFill="1" applyBorder="1" applyAlignment="1" applyProtection="1">
      <alignment horizontal="center" vertical="center" wrapText="1"/>
    </xf>
    <xf numFmtId="0" fontId="10" fillId="0" borderId="8" xfId="0" applyFont="1" applyFill="1" applyBorder="1" applyAlignment="1" applyProtection="1">
      <alignment horizontal="center" vertical="center" wrapText="1"/>
      <protection locked="0"/>
    </xf>
    <xf numFmtId="0" fontId="10" fillId="0" borderId="25"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center" vertical="center" wrapText="1"/>
      <protection locked="0"/>
    </xf>
    <xf numFmtId="0" fontId="9" fillId="4" borderId="3" xfId="0" applyFont="1" applyFill="1" applyBorder="1" applyAlignment="1" applyProtection="1">
      <alignment horizontal="center" vertical="center" wrapText="1"/>
      <protection locked="0"/>
    </xf>
    <xf numFmtId="0" fontId="10" fillId="4" borderId="25" xfId="0" applyFont="1" applyFill="1" applyBorder="1" applyAlignment="1" applyProtection="1">
      <alignment horizontal="center" vertical="center" wrapText="1"/>
      <protection locked="0"/>
    </xf>
    <xf numFmtId="0" fontId="10" fillId="5" borderId="7" xfId="0" applyFont="1" applyFill="1" applyBorder="1" applyAlignment="1" applyProtection="1">
      <alignment horizontal="center" vertical="center" wrapText="1"/>
      <protection locked="0"/>
    </xf>
    <xf numFmtId="0" fontId="10" fillId="5" borderId="13" xfId="0" applyFont="1" applyFill="1" applyBorder="1" applyAlignment="1" applyProtection="1">
      <alignment horizontal="center" vertical="center" wrapText="1"/>
      <protection locked="0"/>
    </xf>
    <xf numFmtId="0" fontId="13" fillId="4" borderId="8" xfId="0" applyFont="1" applyFill="1" applyBorder="1" applyAlignment="1" applyProtection="1">
      <alignment horizontal="center" vertical="center" wrapText="1"/>
      <protection locked="0"/>
    </xf>
    <xf numFmtId="0" fontId="13" fillId="4" borderId="33" xfId="0" applyFont="1" applyFill="1" applyBorder="1" applyAlignment="1" applyProtection="1">
      <alignment horizontal="center" vertical="center" wrapText="1"/>
      <protection locked="0"/>
    </xf>
    <xf numFmtId="0" fontId="10" fillId="5" borderId="48" xfId="0" applyFont="1" applyFill="1" applyBorder="1" applyAlignment="1" applyProtection="1">
      <alignment horizontal="center" vertical="center" wrapText="1"/>
      <protection locked="0"/>
    </xf>
    <xf numFmtId="0" fontId="10" fillId="5"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165" fontId="10" fillId="0" borderId="25" xfId="0" applyNumberFormat="1" applyFont="1" applyFill="1" applyBorder="1" applyAlignment="1" applyProtection="1">
      <alignment horizontal="center" vertical="center" wrapText="1"/>
      <protection locked="0"/>
    </xf>
    <xf numFmtId="165" fontId="10" fillId="0" borderId="33" xfId="0" applyNumberFormat="1" applyFont="1" applyFill="1" applyBorder="1" applyAlignment="1" applyProtection="1">
      <alignment horizontal="center" vertical="center" wrapText="1"/>
      <protection locked="0"/>
    </xf>
    <xf numFmtId="165" fontId="1" fillId="0" borderId="8" xfId="0" applyNumberFormat="1" applyFont="1" applyBorder="1" applyAlignment="1" applyProtection="1">
      <alignment horizontal="center" vertical="center" wrapText="1"/>
      <protection locked="0"/>
    </xf>
    <xf numFmtId="165" fontId="10" fillId="0" borderId="25" xfId="0" applyNumberFormat="1" applyFont="1" applyBorder="1" applyAlignment="1" applyProtection="1">
      <alignment horizontal="center" vertical="center" wrapText="1"/>
      <protection locked="0"/>
    </xf>
    <xf numFmtId="165" fontId="10" fillId="0" borderId="33" xfId="0" applyNumberFormat="1" applyFont="1" applyBorder="1" applyAlignment="1" applyProtection="1">
      <alignment horizontal="center" vertical="center" wrapText="1"/>
      <protection locked="0"/>
    </xf>
    <xf numFmtId="0" fontId="10" fillId="0" borderId="8" xfId="0" applyFont="1" applyFill="1" applyBorder="1" applyAlignment="1" applyProtection="1">
      <alignment horizontal="center" vertical="center" wrapText="1"/>
    </xf>
    <xf numFmtId="0" fontId="10" fillId="0" borderId="25" xfId="0" applyFont="1" applyFill="1" applyBorder="1" applyAlignment="1" applyProtection="1">
      <alignment horizontal="center" vertical="center" wrapText="1"/>
    </xf>
    <xf numFmtId="0" fontId="10" fillId="0" borderId="33" xfId="0" applyFont="1" applyFill="1" applyBorder="1" applyAlignment="1" applyProtection="1">
      <alignment horizontal="center" vertical="center" wrapText="1"/>
    </xf>
    <xf numFmtId="0" fontId="13" fillId="4" borderId="3" xfId="0" applyFont="1" applyFill="1" applyBorder="1" applyAlignment="1" applyProtection="1">
      <alignment horizontal="center" vertical="center" wrapText="1"/>
      <protection locked="0"/>
    </xf>
    <xf numFmtId="0" fontId="11" fillId="4" borderId="3" xfId="0" applyFont="1" applyFill="1" applyBorder="1" applyAlignment="1">
      <alignment horizontal="center" wrapText="1"/>
    </xf>
    <xf numFmtId="0" fontId="8" fillId="0" borderId="8" xfId="0" applyFont="1" applyFill="1" applyBorder="1" applyAlignment="1">
      <alignment horizontal="center" vertical="center" wrapText="1"/>
    </xf>
    <xf numFmtId="0" fontId="8" fillId="0" borderId="25"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25" xfId="0" applyFont="1" applyFill="1" applyBorder="1" applyAlignment="1">
      <alignment horizontal="center" vertical="center" wrapText="1"/>
    </xf>
    <xf numFmtId="0" fontId="8" fillId="8" borderId="33"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8" fillId="0" borderId="8" xfId="0" applyFont="1" applyBorder="1" applyAlignment="1">
      <alignment horizontal="left" wrapText="1"/>
    </xf>
    <xf numFmtId="0" fontId="28" fillId="0" borderId="33" xfId="0" applyFont="1" applyBorder="1" applyAlignment="1">
      <alignment horizontal="left" wrapText="1"/>
    </xf>
    <xf numFmtId="0" fontId="8" fillId="4" borderId="8" xfId="0" applyFont="1" applyFill="1" applyBorder="1" applyAlignment="1">
      <alignment horizontal="center" vertical="center" wrapText="1"/>
    </xf>
    <xf numFmtId="0" fontId="8" fillId="4" borderId="33" xfId="0" applyFont="1" applyFill="1" applyBorder="1" applyAlignment="1">
      <alignment horizontal="center" vertical="center" wrapText="1"/>
    </xf>
    <xf numFmtId="0" fontId="11" fillId="4" borderId="44" xfId="0" applyFont="1" applyFill="1" applyBorder="1" applyAlignment="1" applyProtection="1">
      <alignment horizontal="center"/>
      <protection locked="0"/>
    </xf>
    <xf numFmtId="0" fontId="11" fillId="4" borderId="21" xfId="0" applyFont="1" applyFill="1" applyBorder="1" applyAlignment="1" applyProtection="1">
      <alignment horizontal="center"/>
      <protection locked="0"/>
    </xf>
    <xf numFmtId="0" fontId="11" fillId="4" borderId="46" xfId="0" applyFont="1" applyFill="1" applyBorder="1" applyAlignment="1" applyProtection="1">
      <alignment horizontal="center"/>
      <protection locked="0"/>
    </xf>
    <xf numFmtId="0" fontId="13" fillId="4" borderId="15" xfId="0" applyFont="1" applyFill="1" applyBorder="1" applyAlignment="1" applyProtection="1">
      <alignment horizontal="center"/>
      <protection locked="0"/>
    </xf>
    <xf numFmtId="0" fontId="13" fillId="4" borderId="13" xfId="0" applyFont="1" applyFill="1" applyBorder="1" applyAlignment="1" applyProtection="1">
      <protection locked="0"/>
    </xf>
    <xf numFmtId="0" fontId="13" fillId="4" borderId="23" xfId="0" applyFont="1" applyFill="1" applyBorder="1" applyAlignment="1" applyProtection="1">
      <protection locked="0"/>
    </xf>
    <xf numFmtId="2" fontId="10" fillId="2" borderId="57" xfId="0" applyNumberFormat="1" applyFont="1" applyFill="1" applyBorder="1" applyAlignment="1" applyProtection="1">
      <alignment horizontal="left"/>
    </xf>
    <xf numFmtId="0" fontId="0" fillId="2" borderId="57" xfId="0" applyFill="1" applyBorder="1" applyAlignment="1" applyProtection="1">
      <alignment horizontal="left"/>
    </xf>
    <xf numFmtId="0" fontId="8" fillId="4" borderId="8" xfId="0" applyFont="1" applyFill="1" applyBorder="1" applyAlignment="1" applyProtection="1">
      <alignment horizontal="left" wrapText="1"/>
      <protection locked="0"/>
    </xf>
    <xf numFmtId="0" fontId="8" fillId="4" borderId="17" xfId="0" applyFont="1" applyFill="1" applyBorder="1" applyAlignment="1" applyProtection="1">
      <alignment horizontal="left" wrapText="1"/>
      <protection locked="0"/>
    </xf>
    <xf numFmtId="0" fontId="10" fillId="4" borderId="3" xfId="0" applyFont="1" applyFill="1" applyBorder="1" applyAlignment="1" applyProtection="1">
      <alignment horizontal="left" vertical="center" wrapText="1"/>
      <protection locked="0"/>
    </xf>
    <xf numFmtId="0" fontId="10" fillId="4" borderId="3" xfId="0" applyFont="1" applyFill="1" applyBorder="1" applyAlignment="1" applyProtection="1">
      <alignment horizontal="left"/>
      <protection locked="0"/>
    </xf>
    <xf numFmtId="0" fontId="13" fillId="4" borderId="3" xfId="0" applyFont="1" applyFill="1" applyBorder="1" applyAlignment="1" applyProtection="1">
      <alignment horizontal="center" vertical="top" wrapText="1"/>
      <protection locked="0"/>
    </xf>
    <xf numFmtId="0" fontId="10" fillId="4" borderId="8" xfId="0" applyFont="1" applyFill="1" applyBorder="1" applyAlignment="1" applyProtection="1">
      <alignment horizontal="left"/>
      <protection locked="0"/>
    </xf>
    <xf numFmtId="0" fontId="10" fillId="4" borderId="33" xfId="0" applyFont="1" applyFill="1" applyBorder="1" applyAlignment="1" applyProtection="1">
      <alignment horizontal="left"/>
      <protection locked="0"/>
    </xf>
    <xf numFmtId="0" fontId="18" fillId="4" borderId="0" xfId="0" applyFont="1" applyFill="1" applyBorder="1" applyAlignment="1" applyProtection="1">
      <alignment horizontal="left" wrapText="1"/>
      <protection locked="0"/>
    </xf>
    <xf numFmtId="0" fontId="18" fillId="4" borderId="0" xfId="0" applyFont="1" applyFill="1" applyBorder="1" applyAlignment="1" applyProtection="1">
      <alignment horizontal="left"/>
      <protection locked="0"/>
    </xf>
    <xf numFmtId="0" fontId="10" fillId="4" borderId="8" xfId="0" applyFont="1" applyFill="1" applyBorder="1" applyAlignment="1" applyProtection="1">
      <alignment horizontal="left" vertical="center" wrapText="1"/>
      <protection locked="0"/>
    </xf>
    <xf numFmtId="0" fontId="10" fillId="4" borderId="33" xfId="0" applyFont="1" applyFill="1" applyBorder="1" applyAlignment="1" applyProtection="1">
      <alignment horizontal="left" vertical="center" wrapText="1"/>
      <protection locked="0"/>
    </xf>
    <xf numFmtId="0" fontId="18" fillId="4" borderId="34" xfId="0" applyFont="1" applyFill="1" applyBorder="1" applyAlignment="1" applyProtection="1">
      <alignment horizontal="center" vertical="center" wrapText="1"/>
      <protection locked="0"/>
    </xf>
    <xf numFmtId="0" fontId="18" fillId="4" borderId="18" xfId="0" applyFont="1" applyFill="1" applyBorder="1" applyAlignment="1" applyProtection="1">
      <alignment horizontal="center" vertical="center" wrapText="1"/>
      <protection locked="0"/>
    </xf>
    <xf numFmtId="0" fontId="18" fillId="4" borderId="24" xfId="0" applyFont="1" applyFill="1" applyBorder="1" applyAlignment="1" applyProtection="1">
      <alignment horizontal="center" vertical="center" wrapText="1"/>
      <protection locked="0"/>
    </xf>
    <xf numFmtId="0" fontId="18" fillId="4" borderId="29" xfId="0" applyFont="1" applyFill="1" applyBorder="1" applyAlignment="1" applyProtection="1">
      <alignment horizontal="center" vertical="center" wrapText="1"/>
      <protection locked="0"/>
    </xf>
    <xf numFmtId="0" fontId="18" fillId="4" borderId="30" xfId="0" applyFont="1" applyFill="1" applyBorder="1" applyAlignment="1" applyProtection="1">
      <alignment horizontal="center" vertical="center" wrapText="1"/>
      <protection locked="0"/>
    </xf>
    <xf numFmtId="0" fontId="18" fillId="4" borderId="31" xfId="0" applyFont="1" applyFill="1" applyBorder="1" applyAlignment="1" applyProtection="1">
      <alignment horizontal="center" vertical="center" wrapText="1"/>
      <protection locked="0"/>
    </xf>
    <xf numFmtId="2" fontId="10" fillId="0" borderId="57" xfId="0" applyNumberFormat="1" applyFont="1" applyBorder="1" applyAlignment="1" applyProtection="1">
      <alignment horizontal="left" vertical="center" wrapText="1"/>
    </xf>
    <xf numFmtId="0" fontId="21" fillId="0" borderId="57" xfId="0" applyNumberFormat="1" applyFont="1" applyBorder="1" applyAlignment="1" applyProtection="1">
      <alignment horizontal="left" vertical="center" wrapText="1"/>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1581150</xdr:colOff>
      <xdr:row>3</xdr:row>
      <xdr:rowOff>171450</xdr:rowOff>
    </xdr:from>
    <xdr:to>
      <xdr:col>3</xdr:col>
      <xdr:colOff>590550</xdr:colOff>
      <xdr:row>5</xdr:row>
      <xdr:rowOff>28575</xdr:rowOff>
    </xdr:to>
    <xdr:pic>
      <xdr:nvPicPr>
        <xdr:cNvPr id="5493" name="Picture 2">
          <a:extLst>
            <a:ext uri="{FF2B5EF4-FFF2-40B4-BE49-F238E27FC236}">
              <a16:creationId xmlns:a16="http://schemas.microsoft.com/office/drawing/2014/main" id="{00000000-0008-0000-0000-0000751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695325"/>
          <a:ext cx="20193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457200</xdr:colOff>
      <xdr:row>0</xdr:row>
      <xdr:rowOff>0</xdr:rowOff>
    </xdr:from>
    <xdr:to>
      <xdr:col>4</xdr:col>
      <xdr:colOff>257175</xdr:colOff>
      <xdr:row>0</xdr:row>
      <xdr:rowOff>0</xdr:rowOff>
    </xdr:to>
    <xdr:sp macro="" textlink="">
      <xdr:nvSpPr>
        <xdr:cNvPr id="13957" name="AutoShape 1">
          <a:extLst>
            <a:ext uri="{FF2B5EF4-FFF2-40B4-BE49-F238E27FC236}">
              <a16:creationId xmlns:a16="http://schemas.microsoft.com/office/drawing/2014/main" id="{00000000-0008-0000-0200-000085360000}"/>
            </a:ext>
          </a:extLst>
        </xdr:cNvPr>
        <xdr:cNvSpPr>
          <a:spLocks noChangeArrowheads="1"/>
        </xdr:cNvSpPr>
      </xdr:nvSpPr>
      <xdr:spPr bwMode="auto">
        <a:xfrm>
          <a:off x="321945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5</xdr:col>
      <xdr:colOff>457200</xdr:colOff>
      <xdr:row>0</xdr:row>
      <xdr:rowOff>0</xdr:rowOff>
    </xdr:from>
    <xdr:to>
      <xdr:col>5</xdr:col>
      <xdr:colOff>276225</xdr:colOff>
      <xdr:row>0</xdr:row>
      <xdr:rowOff>0</xdr:rowOff>
    </xdr:to>
    <xdr:sp macro="" textlink="">
      <xdr:nvSpPr>
        <xdr:cNvPr id="13958" name="AutoShape 2">
          <a:extLst>
            <a:ext uri="{FF2B5EF4-FFF2-40B4-BE49-F238E27FC236}">
              <a16:creationId xmlns:a16="http://schemas.microsoft.com/office/drawing/2014/main" id="{00000000-0008-0000-0200-000086360000}"/>
            </a:ext>
          </a:extLst>
        </xdr:cNvPr>
        <xdr:cNvSpPr>
          <a:spLocks noChangeArrowheads="1"/>
        </xdr:cNvSpPr>
      </xdr:nvSpPr>
      <xdr:spPr bwMode="auto">
        <a:xfrm>
          <a:off x="3495675"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457200</xdr:colOff>
      <xdr:row>0</xdr:row>
      <xdr:rowOff>0</xdr:rowOff>
    </xdr:from>
    <xdr:to>
      <xdr:col>6</xdr:col>
      <xdr:colOff>276225</xdr:colOff>
      <xdr:row>0</xdr:row>
      <xdr:rowOff>0</xdr:rowOff>
    </xdr:to>
    <xdr:sp macro="" textlink="">
      <xdr:nvSpPr>
        <xdr:cNvPr id="13959" name="AutoShape 3">
          <a:extLst>
            <a:ext uri="{FF2B5EF4-FFF2-40B4-BE49-F238E27FC236}">
              <a16:creationId xmlns:a16="http://schemas.microsoft.com/office/drawing/2014/main" id="{00000000-0008-0000-0200-000087360000}"/>
            </a:ext>
          </a:extLst>
        </xdr:cNvPr>
        <xdr:cNvSpPr>
          <a:spLocks noChangeArrowheads="1"/>
        </xdr:cNvSpPr>
      </xdr:nvSpPr>
      <xdr:spPr bwMode="auto">
        <a:xfrm>
          <a:off x="377190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7</xdr:col>
      <xdr:colOff>457200</xdr:colOff>
      <xdr:row>0</xdr:row>
      <xdr:rowOff>0</xdr:rowOff>
    </xdr:from>
    <xdr:to>
      <xdr:col>7</xdr:col>
      <xdr:colOff>276225</xdr:colOff>
      <xdr:row>0</xdr:row>
      <xdr:rowOff>0</xdr:rowOff>
    </xdr:to>
    <xdr:sp macro="" textlink="">
      <xdr:nvSpPr>
        <xdr:cNvPr id="13960" name="AutoShape 4">
          <a:extLst>
            <a:ext uri="{FF2B5EF4-FFF2-40B4-BE49-F238E27FC236}">
              <a16:creationId xmlns:a16="http://schemas.microsoft.com/office/drawing/2014/main" id="{00000000-0008-0000-0200-000088360000}"/>
            </a:ext>
          </a:extLst>
        </xdr:cNvPr>
        <xdr:cNvSpPr>
          <a:spLocks noChangeArrowheads="1"/>
        </xdr:cNvSpPr>
      </xdr:nvSpPr>
      <xdr:spPr bwMode="auto">
        <a:xfrm>
          <a:off x="4048125"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11</xdr:col>
      <xdr:colOff>457200</xdr:colOff>
      <xdr:row>0</xdr:row>
      <xdr:rowOff>0</xdr:rowOff>
    </xdr:from>
    <xdr:to>
      <xdr:col>11</xdr:col>
      <xdr:colOff>266700</xdr:colOff>
      <xdr:row>0</xdr:row>
      <xdr:rowOff>0</xdr:rowOff>
    </xdr:to>
    <xdr:sp macro="" textlink="">
      <xdr:nvSpPr>
        <xdr:cNvPr id="13961" name="AutoShape 5">
          <a:extLst>
            <a:ext uri="{FF2B5EF4-FFF2-40B4-BE49-F238E27FC236}">
              <a16:creationId xmlns:a16="http://schemas.microsoft.com/office/drawing/2014/main" id="{00000000-0008-0000-0200-000089360000}"/>
            </a:ext>
          </a:extLst>
        </xdr:cNvPr>
        <xdr:cNvSpPr>
          <a:spLocks noChangeArrowheads="1"/>
        </xdr:cNvSpPr>
      </xdr:nvSpPr>
      <xdr:spPr bwMode="auto">
        <a:xfrm>
          <a:off x="5143500" y="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4</xdr:col>
      <xdr:colOff>457200</xdr:colOff>
      <xdr:row>2</xdr:row>
      <xdr:rowOff>0</xdr:rowOff>
    </xdr:from>
    <xdr:to>
      <xdr:col>4</xdr:col>
      <xdr:colOff>257175</xdr:colOff>
      <xdr:row>2</xdr:row>
      <xdr:rowOff>0</xdr:rowOff>
    </xdr:to>
    <xdr:sp macro="" textlink="">
      <xdr:nvSpPr>
        <xdr:cNvPr id="13962" name="AutoShape 6">
          <a:extLst>
            <a:ext uri="{FF2B5EF4-FFF2-40B4-BE49-F238E27FC236}">
              <a16:creationId xmlns:a16="http://schemas.microsoft.com/office/drawing/2014/main" id="{00000000-0008-0000-0200-00008A360000}"/>
            </a:ext>
          </a:extLst>
        </xdr:cNvPr>
        <xdr:cNvSpPr>
          <a:spLocks noChangeArrowheads="1"/>
        </xdr:cNvSpPr>
      </xdr:nvSpPr>
      <xdr:spPr bwMode="auto">
        <a:xfrm>
          <a:off x="321945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5</xdr:col>
      <xdr:colOff>457200</xdr:colOff>
      <xdr:row>2</xdr:row>
      <xdr:rowOff>0</xdr:rowOff>
    </xdr:from>
    <xdr:to>
      <xdr:col>5</xdr:col>
      <xdr:colOff>276225</xdr:colOff>
      <xdr:row>2</xdr:row>
      <xdr:rowOff>0</xdr:rowOff>
    </xdr:to>
    <xdr:sp macro="" textlink="">
      <xdr:nvSpPr>
        <xdr:cNvPr id="13963" name="AutoShape 7">
          <a:extLst>
            <a:ext uri="{FF2B5EF4-FFF2-40B4-BE49-F238E27FC236}">
              <a16:creationId xmlns:a16="http://schemas.microsoft.com/office/drawing/2014/main" id="{00000000-0008-0000-0200-00008B360000}"/>
            </a:ext>
          </a:extLst>
        </xdr:cNvPr>
        <xdr:cNvSpPr>
          <a:spLocks noChangeArrowheads="1"/>
        </xdr:cNvSpPr>
      </xdr:nvSpPr>
      <xdr:spPr bwMode="auto">
        <a:xfrm>
          <a:off x="3495675"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457200</xdr:colOff>
      <xdr:row>2</xdr:row>
      <xdr:rowOff>0</xdr:rowOff>
    </xdr:from>
    <xdr:to>
      <xdr:col>6</xdr:col>
      <xdr:colOff>276225</xdr:colOff>
      <xdr:row>2</xdr:row>
      <xdr:rowOff>0</xdr:rowOff>
    </xdr:to>
    <xdr:sp macro="" textlink="">
      <xdr:nvSpPr>
        <xdr:cNvPr id="13964" name="AutoShape 8">
          <a:extLst>
            <a:ext uri="{FF2B5EF4-FFF2-40B4-BE49-F238E27FC236}">
              <a16:creationId xmlns:a16="http://schemas.microsoft.com/office/drawing/2014/main" id="{00000000-0008-0000-0200-00008C360000}"/>
            </a:ext>
          </a:extLst>
        </xdr:cNvPr>
        <xdr:cNvSpPr>
          <a:spLocks noChangeArrowheads="1"/>
        </xdr:cNvSpPr>
      </xdr:nvSpPr>
      <xdr:spPr bwMode="auto">
        <a:xfrm>
          <a:off x="377190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7</xdr:col>
      <xdr:colOff>457200</xdr:colOff>
      <xdr:row>2</xdr:row>
      <xdr:rowOff>0</xdr:rowOff>
    </xdr:from>
    <xdr:to>
      <xdr:col>7</xdr:col>
      <xdr:colOff>276225</xdr:colOff>
      <xdr:row>2</xdr:row>
      <xdr:rowOff>0</xdr:rowOff>
    </xdr:to>
    <xdr:sp macro="" textlink="">
      <xdr:nvSpPr>
        <xdr:cNvPr id="13965" name="AutoShape 9">
          <a:extLst>
            <a:ext uri="{FF2B5EF4-FFF2-40B4-BE49-F238E27FC236}">
              <a16:creationId xmlns:a16="http://schemas.microsoft.com/office/drawing/2014/main" id="{00000000-0008-0000-0200-00008D360000}"/>
            </a:ext>
          </a:extLst>
        </xdr:cNvPr>
        <xdr:cNvSpPr>
          <a:spLocks noChangeArrowheads="1"/>
        </xdr:cNvSpPr>
      </xdr:nvSpPr>
      <xdr:spPr bwMode="auto">
        <a:xfrm>
          <a:off x="4048125"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11</xdr:col>
      <xdr:colOff>457200</xdr:colOff>
      <xdr:row>2</xdr:row>
      <xdr:rowOff>0</xdr:rowOff>
    </xdr:from>
    <xdr:to>
      <xdr:col>11</xdr:col>
      <xdr:colOff>266700</xdr:colOff>
      <xdr:row>2</xdr:row>
      <xdr:rowOff>0</xdr:rowOff>
    </xdr:to>
    <xdr:sp macro="" textlink="">
      <xdr:nvSpPr>
        <xdr:cNvPr id="13966" name="AutoShape 10">
          <a:extLst>
            <a:ext uri="{FF2B5EF4-FFF2-40B4-BE49-F238E27FC236}">
              <a16:creationId xmlns:a16="http://schemas.microsoft.com/office/drawing/2014/main" id="{00000000-0008-0000-0200-00008E360000}"/>
            </a:ext>
          </a:extLst>
        </xdr:cNvPr>
        <xdr:cNvSpPr>
          <a:spLocks noChangeArrowheads="1"/>
        </xdr:cNvSpPr>
      </xdr:nvSpPr>
      <xdr:spPr bwMode="auto">
        <a:xfrm>
          <a:off x="5143500" y="1276350"/>
          <a:ext cx="0" cy="0"/>
        </a:xfrm>
        <a:prstGeom prst="downArrow">
          <a:avLst>
            <a:gd name="adj1" fmla="val 50000"/>
            <a:gd name="adj2" fmla="val -2147483648"/>
          </a:avLst>
        </a:prstGeom>
        <a:solidFill>
          <a:srgbClr val="FFFFFF"/>
        </a:solidFill>
        <a:ln w="9525">
          <a:solidFill>
            <a:srgbClr val="000000"/>
          </a:solidFill>
          <a:miter lim="800000"/>
          <a:headEnd/>
          <a:tailEnd/>
        </a:ln>
      </xdr:spPr>
    </xdr:sp>
    <xdr:clientData/>
  </xdr:twoCellAnchor>
  <xdr:twoCellAnchor>
    <xdr:from>
      <xdr:col>6</xdr:col>
      <xdr:colOff>142875</xdr:colOff>
      <xdr:row>12</xdr:row>
      <xdr:rowOff>104775</xdr:rowOff>
    </xdr:from>
    <xdr:to>
      <xdr:col>6</xdr:col>
      <xdr:colOff>342900</xdr:colOff>
      <xdr:row>13</xdr:row>
      <xdr:rowOff>161925</xdr:rowOff>
    </xdr:to>
    <xdr:sp macro="" textlink="">
      <xdr:nvSpPr>
        <xdr:cNvPr id="13967" name="AutoShape 11">
          <a:extLst>
            <a:ext uri="{FF2B5EF4-FFF2-40B4-BE49-F238E27FC236}">
              <a16:creationId xmlns:a16="http://schemas.microsoft.com/office/drawing/2014/main" id="{00000000-0008-0000-0200-00008F360000}"/>
            </a:ext>
          </a:extLst>
        </xdr:cNvPr>
        <xdr:cNvSpPr>
          <a:spLocks noChangeArrowheads="1"/>
        </xdr:cNvSpPr>
      </xdr:nvSpPr>
      <xdr:spPr bwMode="auto">
        <a:xfrm>
          <a:off x="3638550" y="3286125"/>
          <a:ext cx="133350" cy="219075"/>
        </a:xfrm>
        <a:prstGeom prst="downArrow">
          <a:avLst>
            <a:gd name="adj1" fmla="val 50000"/>
            <a:gd name="adj2" fmla="val 41071"/>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0</xdr:rowOff>
        </xdr:from>
        <xdr:to>
          <xdr:col>0</xdr:col>
          <xdr:colOff>247650</xdr:colOff>
          <xdr:row>0</xdr:row>
          <xdr:rowOff>28575</xdr:rowOff>
        </xdr:to>
        <xdr:sp macro="" textlink="">
          <xdr:nvSpPr>
            <xdr:cNvPr id="3210" name="Delete_results" hidden="1">
              <a:extLst>
                <a:ext uri="{63B3BB69-23CF-44E3-9099-C40C66FF867C}">
                  <a14:compatExt spid="_x0000_s3210"/>
                </a:ext>
                <a:ext uri="{FF2B5EF4-FFF2-40B4-BE49-F238E27FC236}">
                  <a16:creationId xmlns:a16="http://schemas.microsoft.com/office/drawing/2014/main" id="{00000000-0008-0000-0300-00008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5.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27"/>
  <sheetViews>
    <sheetView showGridLines="0" view="pageBreakPreview" zoomScaleNormal="75" zoomScaleSheetLayoutView="100" workbookViewId="0">
      <selection activeCell="J15" sqref="J15"/>
    </sheetView>
  </sheetViews>
  <sheetFormatPr defaultRowHeight="12.75" x14ac:dyDescent="0.2"/>
  <cols>
    <col min="1" max="1" width="9.42578125" style="105" customWidth="1"/>
    <col min="2" max="2" width="25.140625" style="105" customWidth="1"/>
    <col min="3" max="3" width="20" style="105" customWidth="1"/>
    <col min="4" max="4" width="13.85546875" style="105" customWidth="1"/>
    <col min="5" max="5" width="8" style="105" customWidth="1"/>
    <col min="6" max="6" width="16.5703125" style="105" customWidth="1"/>
    <col min="7" max="7" width="11.7109375" style="105" customWidth="1"/>
    <col min="8" max="8" width="13.140625" style="105" customWidth="1"/>
    <col min="9" max="16384" width="9.140625" style="105"/>
  </cols>
  <sheetData>
    <row r="1" spans="1:12" ht="13.5" thickBot="1" x14ac:dyDescent="0.25">
      <c r="A1" s="104"/>
      <c r="B1" s="104"/>
      <c r="C1" s="104"/>
      <c r="D1" s="104"/>
      <c r="E1" s="104"/>
      <c r="F1" s="104"/>
      <c r="G1" s="104"/>
      <c r="H1" s="104"/>
    </row>
    <row r="2" spans="1:12" x14ac:dyDescent="0.2">
      <c r="A2" s="104"/>
      <c r="B2" s="106"/>
      <c r="C2" s="107"/>
      <c r="D2" s="107"/>
      <c r="E2" s="107"/>
      <c r="F2" s="108"/>
      <c r="G2" s="104"/>
      <c r="H2" s="3"/>
      <c r="I2" s="3"/>
      <c r="J2" s="109"/>
      <c r="K2" s="109"/>
      <c r="L2" s="109"/>
    </row>
    <row r="3" spans="1:12" ht="15" customHeight="1" x14ac:dyDescent="0.2">
      <c r="A3" s="104"/>
      <c r="B3" s="110"/>
      <c r="C3" s="3"/>
      <c r="D3" s="3"/>
      <c r="E3" s="3"/>
      <c r="F3" s="111"/>
      <c r="G3" s="104"/>
      <c r="H3" s="104"/>
    </row>
    <row r="4" spans="1:12" ht="15" customHeight="1" x14ac:dyDescent="0.2">
      <c r="A4" s="104"/>
      <c r="B4" s="112" t="s">
        <v>0</v>
      </c>
      <c r="C4" s="3"/>
      <c r="D4" s="3"/>
      <c r="E4" s="3"/>
      <c r="F4" s="113"/>
      <c r="G4" s="104"/>
      <c r="H4" s="104"/>
    </row>
    <row r="5" spans="1:12" ht="33" customHeight="1" x14ac:dyDescent="0.2">
      <c r="A5" s="104"/>
      <c r="B5" s="114" t="s">
        <v>1</v>
      </c>
      <c r="C5" s="217"/>
      <c r="D5" s="217"/>
      <c r="E5" s="3"/>
      <c r="F5" s="115"/>
      <c r="G5" s="104"/>
      <c r="H5" s="104"/>
    </row>
    <row r="6" spans="1:12" ht="15.75" x14ac:dyDescent="0.2">
      <c r="A6" s="104"/>
      <c r="B6" s="224" t="s">
        <v>280</v>
      </c>
      <c r="C6" s="225"/>
      <c r="D6" s="225"/>
      <c r="E6" s="225"/>
      <c r="F6" s="226"/>
      <c r="G6" s="104"/>
      <c r="H6" s="104"/>
    </row>
    <row r="7" spans="1:12" x14ac:dyDescent="0.2">
      <c r="A7" s="104"/>
      <c r="B7" s="114"/>
      <c r="C7" s="3"/>
      <c r="D7" s="3"/>
      <c r="E7" s="3"/>
      <c r="F7" s="115"/>
      <c r="G7" s="3"/>
      <c r="H7" s="3"/>
    </row>
    <row r="8" spans="1:12" x14ac:dyDescent="0.2">
      <c r="A8" s="104"/>
      <c r="B8" s="227">
        <f>IF(A16="","Ver1.0",MAX(A16:A123))</f>
        <v>1</v>
      </c>
      <c r="C8" s="228"/>
      <c r="D8" s="228"/>
      <c r="E8" s="228"/>
      <c r="F8" s="229"/>
      <c r="G8" s="104"/>
      <c r="H8" s="104"/>
    </row>
    <row r="9" spans="1:12" ht="15.75" customHeight="1" x14ac:dyDescent="0.2">
      <c r="A9" s="104"/>
      <c r="B9" s="4"/>
      <c r="C9" s="1"/>
      <c r="D9" s="1"/>
      <c r="E9" s="1"/>
      <c r="F9" s="5"/>
      <c r="G9" s="104"/>
      <c r="H9" s="104"/>
    </row>
    <row r="10" spans="1:12" ht="12.75" customHeight="1" x14ac:dyDescent="0.2">
      <c r="A10" s="104"/>
      <c r="B10" s="4"/>
      <c r="C10" s="1"/>
      <c r="D10" s="116"/>
      <c r="E10" s="222"/>
      <c r="F10" s="223"/>
      <c r="G10" s="104"/>
      <c r="H10" s="104"/>
    </row>
    <row r="11" spans="1:12" ht="13.5" thickBot="1" x14ac:dyDescent="0.25">
      <c r="A11" s="104"/>
      <c r="B11" s="117"/>
      <c r="C11" s="118"/>
      <c r="D11" s="118"/>
      <c r="E11" s="118"/>
      <c r="F11" s="103"/>
      <c r="G11" s="104"/>
      <c r="H11" s="104"/>
    </row>
    <row r="12" spans="1:12" x14ac:dyDescent="0.2">
      <c r="A12" s="2"/>
      <c r="B12" s="104"/>
      <c r="C12" s="104"/>
      <c r="D12" s="104"/>
      <c r="E12" s="104"/>
      <c r="F12" s="104"/>
      <c r="G12" s="2"/>
      <c r="H12" s="2"/>
    </row>
    <row r="13" spans="1:12" x14ac:dyDescent="0.2">
      <c r="A13" s="218" t="s">
        <v>35</v>
      </c>
      <c r="B13" s="219"/>
      <c r="C13" s="219"/>
      <c r="D13" s="104"/>
      <c r="E13" s="104"/>
      <c r="F13" s="104"/>
      <c r="G13" s="2"/>
      <c r="H13" s="104"/>
    </row>
    <row r="14" spans="1:12" ht="13.5" thickBot="1" x14ac:dyDescent="0.25">
      <c r="A14" s="104"/>
      <c r="B14" s="2"/>
      <c r="C14" s="2"/>
      <c r="D14" s="2"/>
      <c r="E14" s="2"/>
      <c r="F14" s="2"/>
      <c r="G14" s="104"/>
      <c r="H14" s="104"/>
    </row>
    <row r="15" spans="1:12" ht="51" x14ac:dyDescent="0.2">
      <c r="A15" s="23" t="s">
        <v>2</v>
      </c>
      <c r="B15" s="24" t="s">
        <v>3</v>
      </c>
      <c r="C15" s="24" t="s">
        <v>4</v>
      </c>
      <c r="D15" s="24" t="s">
        <v>37</v>
      </c>
      <c r="E15" s="24" t="s">
        <v>5</v>
      </c>
      <c r="F15" s="220" t="s">
        <v>36</v>
      </c>
      <c r="G15" s="221"/>
      <c r="H15" s="104"/>
    </row>
    <row r="16" spans="1:12" s="122" customFormat="1" ht="12.75" customHeight="1" thickBot="1" x14ac:dyDescent="0.25">
      <c r="A16" s="205">
        <v>1</v>
      </c>
      <c r="B16" s="207">
        <v>44182</v>
      </c>
      <c r="C16" s="159"/>
      <c r="D16" s="159" t="s">
        <v>403</v>
      </c>
      <c r="E16" s="120"/>
      <c r="F16" s="209"/>
      <c r="G16" s="210"/>
      <c r="H16" s="121"/>
    </row>
    <row r="17" spans="1:8" s="122" customFormat="1" ht="60.75" thickBot="1" x14ac:dyDescent="0.25">
      <c r="A17" s="206"/>
      <c r="B17" s="208"/>
      <c r="C17" s="191" t="s">
        <v>440</v>
      </c>
      <c r="D17" s="160"/>
      <c r="E17" s="123"/>
      <c r="F17" s="211"/>
      <c r="G17" s="212"/>
      <c r="H17" s="121"/>
    </row>
    <row r="18" spans="1:8" s="122" customFormat="1" x14ac:dyDescent="0.2">
      <c r="A18" s="124"/>
      <c r="B18" s="125"/>
      <c r="C18" s="126"/>
      <c r="D18" s="126"/>
      <c r="E18" s="126"/>
      <c r="F18" s="126"/>
      <c r="G18" s="127"/>
      <c r="H18" s="121"/>
    </row>
    <row r="19" spans="1:8" s="122" customFormat="1" x14ac:dyDescent="0.2">
      <c r="A19" s="205"/>
      <c r="B19" s="207"/>
      <c r="C19" s="120"/>
      <c r="D19" s="120"/>
      <c r="E19" s="120"/>
      <c r="F19" s="209"/>
      <c r="G19" s="210"/>
      <c r="H19" s="121"/>
    </row>
    <row r="20" spans="1:8" s="122" customFormat="1" x14ac:dyDescent="0.2">
      <c r="A20" s="206"/>
      <c r="B20" s="208"/>
      <c r="C20" s="123"/>
      <c r="D20" s="123"/>
      <c r="E20" s="123"/>
      <c r="F20" s="211"/>
      <c r="G20" s="212"/>
      <c r="H20" s="121"/>
    </row>
    <row r="21" spans="1:8" s="122" customFormat="1" x14ac:dyDescent="0.2">
      <c r="A21" s="124"/>
      <c r="B21" s="125"/>
      <c r="C21" s="126"/>
      <c r="D21" s="126"/>
      <c r="E21" s="126"/>
      <c r="F21" s="126"/>
      <c r="G21" s="127"/>
      <c r="H21" s="121"/>
    </row>
    <row r="22" spans="1:8" s="122" customFormat="1" x14ac:dyDescent="0.2">
      <c r="A22" s="205"/>
      <c r="B22" s="207"/>
      <c r="C22" s="120"/>
      <c r="D22" s="120"/>
      <c r="E22" s="120"/>
      <c r="F22" s="209"/>
      <c r="G22" s="210"/>
      <c r="H22" s="121"/>
    </row>
    <row r="23" spans="1:8" s="122" customFormat="1" ht="13.5" thickBot="1" x14ac:dyDescent="0.25">
      <c r="A23" s="213"/>
      <c r="B23" s="214"/>
      <c r="C23" s="128"/>
      <c r="D23" s="128"/>
      <c r="E23" s="128"/>
      <c r="F23" s="215"/>
      <c r="G23" s="216"/>
      <c r="H23" s="121"/>
    </row>
    <row r="24" spans="1:8" x14ac:dyDescent="0.2">
      <c r="A24" s="3"/>
      <c r="B24" s="3"/>
      <c r="C24" s="3"/>
      <c r="D24" s="3"/>
      <c r="E24" s="3"/>
      <c r="F24" s="3"/>
      <c r="G24" s="3"/>
      <c r="H24" s="104"/>
    </row>
    <row r="25" spans="1:8" x14ac:dyDescent="0.2">
      <c r="A25" s="3"/>
      <c r="B25" s="3"/>
      <c r="C25" s="3"/>
      <c r="D25" s="3"/>
      <c r="E25" s="3"/>
      <c r="F25" s="3"/>
      <c r="G25" s="3"/>
      <c r="H25" s="104"/>
    </row>
    <row r="26" spans="1:8" x14ac:dyDescent="0.2">
      <c r="A26" s="203"/>
      <c r="B26" s="204"/>
      <c r="C26" s="204"/>
      <c r="D26" s="204"/>
      <c r="E26" s="204"/>
      <c r="F26" s="204"/>
      <c r="G26" s="204"/>
      <c r="H26" s="119"/>
    </row>
    <row r="27" spans="1:8" x14ac:dyDescent="0.2">
      <c r="A27" s="204"/>
      <c r="B27" s="204"/>
      <c r="C27" s="204"/>
      <c r="D27" s="204"/>
      <c r="E27" s="204"/>
      <c r="F27" s="204"/>
      <c r="G27" s="204"/>
    </row>
  </sheetData>
  <mergeCells count="16">
    <mergeCell ref="C5:D5"/>
    <mergeCell ref="A13:C13"/>
    <mergeCell ref="F15:G15"/>
    <mergeCell ref="E10:F10"/>
    <mergeCell ref="A16:A17"/>
    <mergeCell ref="B16:B17"/>
    <mergeCell ref="F16:G17"/>
    <mergeCell ref="B6:F6"/>
    <mergeCell ref="B8:F8"/>
    <mergeCell ref="A26:G27"/>
    <mergeCell ref="A19:A20"/>
    <mergeCell ref="B19:B20"/>
    <mergeCell ref="F19:G20"/>
    <mergeCell ref="A22:A23"/>
    <mergeCell ref="B22:B23"/>
    <mergeCell ref="F22:G23"/>
  </mergeCells>
  <phoneticPr fontId="0" type="noConversion"/>
  <pageMargins left="0.75" right="0.75" top="1" bottom="1" header="0.5" footer="0.5"/>
  <pageSetup scale="77" orientation="portrait" horizontalDpi="4294967292"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30"/>
  <sheetViews>
    <sheetView showGridLines="0" workbookViewId="0">
      <selection activeCell="C28" sqref="C28:G28"/>
    </sheetView>
  </sheetViews>
  <sheetFormatPr defaultRowHeight="12.75" x14ac:dyDescent="0.2"/>
  <cols>
    <col min="1" max="1" width="6.85546875" style="72" customWidth="1"/>
    <col min="2" max="2" width="22.28515625" style="72" customWidth="1"/>
    <col min="3" max="3" width="23.7109375" style="72" customWidth="1"/>
    <col min="4" max="4" width="25.5703125" style="72" customWidth="1"/>
    <col min="5" max="6" width="25.7109375" style="72" customWidth="1"/>
    <col min="7" max="7" width="23.7109375" style="72" customWidth="1"/>
    <col min="8" max="16384" width="9.140625" style="72"/>
  </cols>
  <sheetData>
    <row r="1" spans="1:7" ht="13.5" thickBot="1" x14ac:dyDescent="0.25">
      <c r="A1" s="252" t="s">
        <v>287</v>
      </c>
      <c r="B1" s="253"/>
      <c r="C1" s="253"/>
      <c r="D1" s="253"/>
      <c r="E1" s="253"/>
      <c r="F1" s="253"/>
      <c r="G1" s="254"/>
    </row>
    <row r="2" spans="1:7" ht="13.5" thickBot="1" x14ac:dyDescent="0.25">
      <c r="A2" s="281" t="s">
        <v>45</v>
      </c>
      <c r="B2" s="282"/>
      <c r="C2" s="137"/>
      <c r="D2" s="70" t="s">
        <v>7</v>
      </c>
      <c r="E2" s="283" t="s">
        <v>404</v>
      </c>
      <c r="F2" s="284"/>
      <c r="G2" s="285"/>
    </row>
    <row r="3" spans="1:7" ht="13.5" thickBot="1" x14ac:dyDescent="0.25">
      <c r="A3" s="286" t="s">
        <v>295</v>
      </c>
      <c r="B3" s="287"/>
      <c r="C3" s="287"/>
      <c r="D3" s="287"/>
      <c r="E3" s="287"/>
      <c r="F3" s="288"/>
      <c r="G3" s="289"/>
    </row>
    <row r="4" spans="1:7" x14ac:dyDescent="0.2">
      <c r="A4" s="38" t="s">
        <v>303</v>
      </c>
      <c r="B4" s="291" t="s">
        <v>296</v>
      </c>
      <c r="C4" s="292"/>
      <c r="D4" s="290" t="s">
        <v>297</v>
      </c>
      <c r="E4" s="290"/>
      <c r="F4" s="233" t="s">
        <v>304</v>
      </c>
      <c r="G4" s="296"/>
    </row>
    <row r="5" spans="1:7" x14ac:dyDescent="0.2">
      <c r="A5" s="96">
        <v>1</v>
      </c>
      <c r="B5" s="271" t="s">
        <v>405</v>
      </c>
      <c r="C5" s="272"/>
      <c r="D5" s="271" t="s">
        <v>406</v>
      </c>
      <c r="E5" s="272"/>
      <c r="F5" s="236">
        <v>1</v>
      </c>
      <c r="G5" s="251"/>
    </row>
    <row r="6" spans="1:7" x14ac:dyDescent="0.2">
      <c r="A6" s="97">
        <v>2</v>
      </c>
      <c r="B6" s="294"/>
      <c r="C6" s="272"/>
      <c r="D6" s="271"/>
      <c r="E6" s="272"/>
      <c r="F6" s="236"/>
      <c r="G6" s="251"/>
    </row>
    <row r="7" spans="1:7" x14ac:dyDescent="0.2">
      <c r="A7" s="75"/>
      <c r="B7" s="295"/>
      <c r="C7" s="240"/>
      <c r="D7" s="273"/>
      <c r="E7" s="240"/>
      <c r="F7" s="295"/>
      <c r="G7" s="251"/>
    </row>
    <row r="8" spans="1:7" ht="13.5" thickBot="1" x14ac:dyDescent="0.25">
      <c r="A8" s="76"/>
      <c r="B8" s="274"/>
      <c r="C8" s="275"/>
      <c r="D8" s="274"/>
      <c r="E8" s="275"/>
      <c r="F8" s="295"/>
      <c r="G8" s="251"/>
    </row>
    <row r="9" spans="1:7" ht="13.5" thickBot="1" x14ac:dyDescent="0.25">
      <c r="A9" s="276" t="s">
        <v>298</v>
      </c>
      <c r="B9" s="277"/>
      <c r="C9" s="277"/>
      <c r="D9" s="277"/>
      <c r="E9" s="277"/>
      <c r="F9" s="278"/>
      <c r="G9" s="279"/>
    </row>
    <row r="10" spans="1:7" x14ac:dyDescent="0.2">
      <c r="A10" s="39" t="s">
        <v>303</v>
      </c>
      <c r="B10" s="280" t="s">
        <v>299</v>
      </c>
      <c r="C10" s="280"/>
      <c r="D10" s="280"/>
      <c r="E10" s="71" t="s">
        <v>300</v>
      </c>
      <c r="F10" s="233" t="s">
        <v>301</v>
      </c>
      <c r="G10" s="296"/>
    </row>
    <row r="11" spans="1:7" x14ac:dyDescent="0.2">
      <c r="A11" s="75">
        <v>1</v>
      </c>
      <c r="B11" s="267" t="s">
        <v>407</v>
      </c>
      <c r="C11" s="268"/>
      <c r="D11" s="268"/>
      <c r="E11" s="153" t="s">
        <v>408</v>
      </c>
      <c r="F11" s="236"/>
      <c r="G11" s="251"/>
    </row>
    <row r="12" spans="1:7" x14ac:dyDescent="0.2">
      <c r="A12" s="75"/>
      <c r="B12" s="267"/>
      <c r="C12" s="268"/>
      <c r="D12" s="268"/>
      <c r="E12" s="153"/>
      <c r="F12" s="236"/>
      <c r="G12" s="251"/>
    </row>
    <row r="13" spans="1:7" x14ac:dyDescent="0.2">
      <c r="A13" s="75"/>
      <c r="B13" s="268"/>
      <c r="C13" s="268"/>
      <c r="D13" s="268"/>
      <c r="E13" s="77"/>
      <c r="F13" s="295"/>
      <c r="G13" s="251"/>
    </row>
    <row r="14" spans="1:7" ht="13.5" thickBot="1" x14ac:dyDescent="0.25">
      <c r="A14" s="76"/>
      <c r="B14" s="263"/>
      <c r="C14" s="263"/>
      <c r="D14" s="263"/>
      <c r="E14" s="78"/>
      <c r="F14" s="295"/>
      <c r="G14" s="251"/>
    </row>
    <row r="15" spans="1:7" ht="13.5" thickBot="1" x14ac:dyDescent="0.25">
      <c r="A15" s="276" t="s">
        <v>302</v>
      </c>
      <c r="B15" s="277"/>
      <c r="C15" s="277"/>
      <c r="D15" s="277"/>
      <c r="E15" s="277"/>
      <c r="F15" s="278"/>
      <c r="G15" s="279"/>
    </row>
    <row r="16" spans="1:7" x14ac:dyDescent="0.2">
      <c r="A16" s="39" t="s">
        <v>303</v>
      </c>
      <c r="B16" s="233" t="s">
        <v>307</v>
      </c>
      <c r="C16" s="234"/>
      <c r="D16" s="234"/>
      <c r="E16" s="235"/>
      <c r="F16" s="233" t="s">
        <v>300</v>
      </c>
      <c r="G16" s="235"/>
    </row>
    <row r="17" spans="1:7" x14ac:dyDescent="0.2">
      <c r="A17" s="75">
        <v>1</v>
      </c>
      <c r="B17" s="236" t="s">
        <v>388</v>
      </c>
      <c r="C17" s="237"/>
      <c r="D17" s="237"/>
      <c r="E17" s="238"/>
      <c r="F17" s="295" t="s">
        <v>409</v>
      </c>
      <c r="G17" s="251"/>
    </row>
    <row r="18" spans="1:7" x14ac:dyDescent="0.2">
      <c r="A18" s="75">
        <v>2</v>
      </c>
      <c r="B18" s="236" t="s">
        <v>389</v>
      </c>
      <c r="C18" s="239"/>
      <c r="D18" s="239"/>
      <c r="E18" s="240"/>
      <c r="F18" s="236" t="s">
        <v>410</v>
      </c>
      <c r="G18" s="250"/>
    </row>
    <row r="19" spans="1:7" ht="15" customHeight="1" x14ac:dyDescent="0.2">
      <c r="A19" s="75">
        <v>3</v>
      </c>
      <c r="B19" s="236" t="s">
        <v>390</v>
      </c>
      <c r="C19" s="241"/>
      <c r="D19" s="241"/>
      <c r="E19" s="242"/>
      <c r="F19" s="236" t="s">
        <v>412</v>
      </c>
      <c r="G19" s="251"/>
    </row>
    <row r="20" spans="1:7" ht="13.5" thickBot="1" x14ac:dyDescent="0.25">
      <c r="A20" s="75">
        <v>4</v>
      </c>
      <c r="B20" s="236" t="s">
        <v>411</v>
      </c>
      <c r="C20" s="239"/>
      <c r="D20" s="239"/>
      <c r="E20" s="240"/>
      <c r="F20" s="236" t="s">
        <v>413</v>
      </c>
      <c r="G20" s="251"/>
    </row>
    <row r="21" spans="1:7" ht="13.5" thickBot="1" x14ac:dyDescent="0.25">
      <c r="A21" s="247" t="s">
        <v>305</v>
      </c>
      <c r="B21" s="248"/>
      <c r="C21" s="248"/>
      <c r="D21" s="248"/>
      <c r="E21" s="248"/>
      <c r="F21" s="248"/>
      <c r="G21" s="249"/>
    </row>
    <row r="22" spans="1:7" x14ac:dyDescent="0.2">
      <c r="A22" s="293" t="s">
        <v>288</v>
      </c>
      <c r="B22" s="235"/>
      <c r="C22" s="82" t="s">
        <v>289</v>
      </c>
      <c r="D22" s="83" t="s">
        <v>290</v>
      </c>
      <c r="E22" s="83" t="s">
        <v>291</v>
      </c>
      <c r="F22" s="80" t="s">
        <v>306</v>
      </c>
      <c r="G22" s="80" t="s">
        <v>69</v>
      </c>
    </row>
    <row r="23" spans="1:7" x14ac:dyDescent="0.2">
      <c r="A23" s="261" t="s">
        <v>292</v>
      </c>
      <c r="B23" s="262"/>
      <c r="C23" s="186" t="s">
        <v>392</v>
      </c>
      <c r="D23" s="186" t="s">
        <v>377</v>
      </c>
      <c r="E23" s="186" t="s">
        <v>377</v>
      </c>
      <c r="F23" s="73" t="s">
        <v>377</v>
      </c>
      <c r="G23" s="79" t="s">
        <v>377</v>
      </c>
    </row>
    <row r="24" spans="1:7" x14ac:dyDescent="0.2">
      <c r="A24" s="245" t="s">
        <v>293</v>
      </c>
      <c r="B24" s="246"/>
      <c r="C24" s="187" t="s">
        <v>392</v>
      </c>
      <c r="D24" s="187" t="s">
        <v>377</v>
      </c>
      <c r="E24" s="187" t="s">
        <v>377</v>
      </c>
      <c r="F24" s="73" t="s">
        <v>377</v>
      </c>
      <c r="G24" s="188" t="s">
        <v>377</v>
      </c>
    </row>
    <row r="25" spans="1:7" x14ac:dyDescent="0.2">
      <c r="A25" s="245" t="s">
        <v>324</v>
      </c>
      <c r="B25" s="246"/>
      <c r="C25" s="187" t="s">
        <v>392</v>
      </c>
      <c r="D25" s="187" t="s">
        <v>377</v>
      </c>
      <c r="E25" s="187" t="s">
        <v>377</v>
      </c>
      <c r="F25" s="185" t="s">
        <v>377</v>
      </c>
      <c r="G25" s="74" t="s">
        <v>377</v>
      </c>
    </row>
    <row r="26" spans="1:7" x14ac:dyDescent="0.2">
      <c r="A26" s="245" t="s">
        <v>325</v>
      </c>
      <c r="B26" s="246"/>
      <c r="C26" s="187" t="s">
        <v>392</v>
      </c>
      <c r="D26" s="187" t="s">
        <v>377</v>
      </c>
      <c r="E26" s="187" t="s">
        <v>377</v>
      </c>
      <c r="F26" s="189" t="s">
        <v>377</v>
      </c>
      <c r="G26" s="81" t="s">
        <v>377</v>
      </c>
    </row>
    <row r="27" spans="1:7" x14ac:dyDescent="0.2">
      <c r="A27" s="245" t="s">
        <v>308</v>
      </c>
      <c r="B27" s="246"/>
      <c r="C27" s="264" t="str">
        <f>'SystemTest Plan &amp; Test Results'!M3</f>
        <v>NA as of now</v>
      </c>
      <c r="D27" s="265"/>
      <c r="E27" s="265"/>
      <c r="F27" s="265"/>
      <c r="G27" s="266"/>
    </row>
    <row r="28" spans="1:7" ht="49.5" customHeight="1" x14ac:dyDescent="0.2">
      <c r="A28" s="243" t="s">
        <v>30</v>
      </c>
      <c r="B28" s="244"/>
      <c r="C28" s="255"/>
      <c r="D28" s="256"/>
      <c r="E28" s="256"/>
      <c r="F28" s="256"/>
      <c r="G28" s="257"/>
    </row>
    <row r="29" spans="1:7" ht="45.75" customHeight="1" thickBot="1" x14ac:dyDescent="0.25">
      <c r="A29" s="269" t="s">
        <v>31</v>
      </c>
      <c r="B29" s="270"/>
      <c r="C29" s="258" t="s">
        <v>65</v>
      </c>
      <c r="D29" s="259"/>
      <c r="E29" s="259"/>
      <c r="F29" s="259"/>
      <c r="G29" s="260"/>
    </row>
    <row r="30" spans="1:7" ht="13.5" thickBot="1" x14ac:dyDescent="0.25">
      <c r="A30" s="230" t="s">
        <v>294</v>
      </c>
      <c r="B30" s="231"/>
      <c r="C30" s="231"/>
      <c r="D30" s="231"/>
      <c r="E30" s="231"/>
      <c r="F30" s="231"/>
      <c r="G30" s="232"/>
    </row>
  </sheetData>
  <sheetProtection insertColumns="0" insertRows="0"/>
  <mergeCells count="54">
    <mergeCell ref="B13:D13"/>
    <mergeCell ref="A15:G15"/>
    <mergeCell ref="F11:G11"/>
    <mergeCell ref="F12:G12"/>
    <mergeCell ref="F13:G13"/>
    <mergeCell ref="F14:G14"/>
    <mergeCell ref="F6:G6"/>
    <mergeCell ref="F7:G7"/>
    <mergeCell ref="F8:G8"/>
    <mergeCell ref="F10:G10"/>
    <mergeCell ref="F17:G17"/>
    <mergeCell ref="F16:G16"/>
    <mergeCell ref="B10:D10"/>
    <mergeCell ref="B11:D11"/>
    <mergeCell ref="A26:B26"/>
    <mergeCell ref="F20:G20"/>
    <mergeCell ref="A2:B2"/>
    <mergeCell ref="E2:G2"/>
    <mergeCell ref="A3:G3"/>
    <mergeCell ref="D4:E4"/>
    <mergeCell ref="B4:C4"/>
    <mergeCell ref="A22:B22"/>
    <mergeCell ref="B5:C5"/>
    <mergeCell ref="B6:C6"/>
    <mergeCell ref="B7:C7"/>
    <mergeCell ref="B8:C8"/>
    <mergeCell ref="F4:G4"/>
    <mergeCell ref="F5:G5"/>
    <mergeCell ref="A1:G1"/>
    <mergeCell ref="C28:G28"/>
    <mergeCell ref="C29:G29"/>
    <mergeCell ref="A27:B27"/>
    <mergeCell ref="A23:B23"/>
    <mergeCell ref="B14:D14"/>
    <mergeCell ref="A25:B25"/>
    <mergeCell ref="C27:G27"/>
    <mergeCell ref="B20:E20"/>
    <mergeCell ref="B12:D12"/>
    <mergeCell ref="A29:B29"/>
    <mergeCell ref="D5:E5"/>
    <mergeCell ref="D6:E6"/>
    <mergeCell ref="D7:E7"/>
    <mergeCell ref="D8:E8"/>
    <mergeCell ref="A9:G9"/>
    <mergeCell ref="A30:G30"/>
    <mergeCell ref="B16:E16"/>
    <mergeCell ref="B17:E17"/>
    <mergeCell ref="B18:E18"/>
    <mergeCell ref="B19:E19"/>
    <mergeCell ref="A28:B28"/>
    <mergeCell ref="A24:B24"/>
    <mergeCell ref="A21:G21"/>
    <mergeCell ref="F18:G18"/>
    <mergeCell ref="F19:G19"/>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V53"/>
  <sheetViews>
    <sheetView view="pageBreakPreview" zoomScaleNormal="75" zoomScaleSheetLayoutView="100" workbookViewId="0">
      <selection sqref="A1:L1"/>
    </sheetView>
  </sheetViews>
  <sheetFormatPr defaultRowHeight="12.75" x14ac:dyDescent="0.2"/>
  <cols>
    <col min="1" max="2" width="9.140625" style="7"/>
    <col min="3" max="3" width="9.7109375" style="7" bestFit="1" customWidth="1"/>
    <col min="4" max="4" width="16.42578125" style="7" customWidth="1"/>
    <col min="5" max="5" width="3.85546875" style="7" bestFit="1" customWidth="1"/>
    <col min="6" max="8" width="4.140625" style="7" bestFit="1" customWidth="1"/>
    <col min="9" max="11" width="4.140625" style="7" customWidth="1"/>
    <col min="12" max="12" width="4" style="7" bestFit="1" customWidth="1"/>
    <col min="13" max="16384" width="9.140625" style="7"/>
  </cols>
  <sheetData>
    <row r="1" spans="1:22" ht="18" customHeight="1" thickBot="1" x14ac:dyDescent="0.25">
      <c r="A1" s="297" t="s">
        <v>81</v>
      </c>
      <c r="B1" s="298"/>
      <c r="C1" s="299"/>
      <c r="D1" s="299"/>
      <c r="E1" s="299"/>
      <c r="F1" s="299"/>
      <c r="G1" s="299"/>
      <c r="H1" s="299"/>
      <c r="I1" s="300"/>
      <c r="J1" s="300"/>
      <c r="K1" s="300"/>
      <c r="L1" s="301"/>
      <c r="M1" s="6"/>
      <c r="N1" s="6"/>
      <c r="O1" s="6"/>
      <c r="P1" s="6"/>
      <c r="Q1" s="6"/>
      <c r="R1" s="6"/>
      <c r="S1" s="6"/>
      <c r="T1" s="6"/>
      <c r="U1" s="6"/>
      <c r="V1" s="6"/>
    </row>
    <row r="2" spans="1:22" s="14" customFormat="1" ht="82.5" customHeight="1" x14ac:dyDescent="0.2">
      <c r="A2" s="302" t="s">
        <v>190</v>
      </c>
      <c r="B2" s="303"/>
      <c r="C2" s="304"/>
      <c r="D2" s="305" t="s">
        <v>227</v>
      </c>
      <c r="E2" s="306"/>
      <c r="F2" s="306"/>
      <c r="G2" s="306"/>
      <c r="H2" s="306"/>
      <c r="I2" s="306"/>
      <c r="J2" s="306"/>
      <c r="K2" s="306"/>
      <c r="L2" s="307"/>
      <c r="M2" s="13"/>
      <c r="N2" s="13"/>
      <c r="O2" s="13"/>
      <c r="P2" s="13"/>
      <c r="Q2" s="13"/>
      <c r="R2" s="13"/>
      <c r="S2" s="13"/>
      <c r="T2" s="13"/>
      <c r="U2" s="13"/>
      <c r="V2" s="13"/>
    </row>
    <row r="3" spans="1:22" s="14" customFormat="1" ht="18" x14ac:dyDescent="0.2">
      <c r="A3" s="308" t="s">
        <v>226</v>
      </c>
      <c r="B3" s="309"/>
      <c r="C3" s="310"/>
      <c r="D3" s="310"/>
      <c r="E3" s="311" t="s">
        <v>200</v>
      </c>
      <c r="F3" s="311"/>
      <c r="G3" s="311"/>
      <c r="H3" s="311"/>
      <c r="I3" s="312"/>
      <c r="J3" s="312"/>
      <c r="K3" s="312"/>
      <c r="L3" s="313"/>
      <c r="M3" s="13"/>
      <c r="N3" s="13"/>
      <c r="O3" s="13"/>
      <c r="P3" s="13"/>
      <c r="Q3" s="13"/>
      <c r="R3" s="13"/>
      <c r="S3" s="13"/>
      <c r="T3" s="13"/>
      <c r="U3" s="13"/>
      <c r="V3" s="13"/>
    </row>
    <row r="4" spans="1:22" s="14" customFormat="1" ht="15" x14ac:dyDescent="0.2">
      <c r="A4" s="330" t="s">
        <v>32</v>
      </c>
      <c r="B4" s="25"/>
      <c r="C4" s="331" t="s">
        <v>80</v>
      </c>
      <c r="D4" s="333" t="s">
        <v>191</v>
      </c>
      <c r="E4" s="321" t="s">
        <v>192</v>
      </c>
      <c r="F4" s="322"/>
      <c r="G4" s="322"/>
      <c r="H4" s="322"/>
      <c r="I4" s="322"/>
      <c r="J4" s="322"/>
      <c r="K4" s="322"/>
      <c r="L4" s="323"/>
      <c r="M4" s="13"/>
      <c r="N4" s="13"/>
      <c r="O4" s="13"/>
      <c r="P4" s="13"/>
      <c r="Q4" s="13"/>
      <c r="R4" s="13"/>
      <c r="S4" s="13"/>
      <c r="T4" s="13"/>
      <c r="U4" s="13"/>
      <c r="V4" s="13"/>
    </row>
    <row r="5" spans="1:22" s="14" customFormat="1" ht="18.75" customHeight="1" x14ac:dyDescent="0.2">
      <c r="A5" s="330"/>
      <c r="B5" s="26"/>
      <c r="C5" s="332"/>
      <c r="D5" s="333"/>
      <c r="E5" s="27" t="s">
        <v>193</v>
      </c>
      <c r="F5" s="27" t="s">
        <v>194</v>
      </c>
      <c r="G5" s="27" t="s">
        <v>253</v>
      </c>
      <c r="H5" s="27" t="s">
        <v>254</v>
      </c>
      <c r="I5" s="27" t="s">
        <v>255</v>
      </c>
      <c r="J5" s="27" t="s">
        <v>256</v>
      </c>
      <c r="K5" s="27" t="s">
        <v>257</v>
      </c>
      <c r="L5" s="27" t="s">
        <v>258</v>
      </c>
      <c r="M5" s="13"/>
      <c r="N5" s="13"/>
      <c r="O5" s="13"/>
      <c r="P5" s="13"/>
      <c r="Q5" s="13"/>
      <c r="R5" s="13"/>
      <c r="S5" s="13"/>
      <c r="T5" s="13"/>
      <c r="U5" s="13"/>
      <c r="V5" s="13"/>
    </row>
    <row r="6" spans="1:22" s="14" customFormat="1" x14ac:dyDescent="0.2">
      <c r="A6" s="315" t="s">
        <v>228</v>
      </c>
      <c r="B6" s="15"/>
      <c r="C6" s="10"/>
      <c r="D6" s="11" t="s">
        <v>229</v>
      </c>
      <c r="E6" s="10"/>
      <c r="F6" s="10"/>
      <c r="G6" s="10"/>
      <c r="H6" s="10"/>
      <c r="I6" s="10"/>
      <c r="J6" s="10"/>
      <c r="K6" s="10"/>
      <c r="L6" s="10"/>
      <c r="M6" s="13"/>
      <c r="N6" s="13"/>
      <c r="O6" s="13"/>
      <c r="P6" s="13"/>
      <c r="Q6" s="13"/>
      <c r="R6" s="13"/>
      <c r="S6" s="13"/>
      <c r="T6" s="13"/>
      <c r="U6" s="13"/>
      <c r="V6" s="13"/>
    </row>
    <row r="7" spans="1:22" s="14" customFormat="1" x14ac:dyDescent="0.2">
      <c r="A7" s="316"/>
      <c r="B7" s="16"/>
      <c r="C7" s="10"/>
      <c r="D7" s="11" t="s">
        <v>230</v>
      </c>
      <c r="E7" s="10"/>
      <c r="F7" s="10"/>
      <c r="G7" s="10"/>
      <c r="H7" s="10"/>
      <c r="I7" s="10"/>
      <c r="J7" s="10"/>
      <c r="K7" s="10"/>
      <c r="L7" s="10"/>
      <c r="M7" s="13"/>
      <c r="N7" s="13"/>
      <c r="O7" s="13"/>
      <c r="P7" s="13"/>
      <c r="Q7" s="13"/>
      <c r="R7" s="13"/>
      <c r="S7" s="13"/>
      <c r="T7" s="13"/>
      <c r="U7" s="13"/>
      <c r="V7" s="13"/>
    </row>
    <row r="8" spans="1:22" s="14" customFormat="1" x14ac:dyDescent="0.2">
      <c r="A8" s="316"/>
      <c r="B8" s="16"/>
      <c r="C8" s="10"/>
      <c r="D8" s="11" t="s">
        <v>231</v>
      </c>
      <c r="E8" s="10"/>
      <c r="F8" s="10"/>
      <c r="G8" s="10"/>
      <c r="H8" s="10"/>
      <c r="I8" s="10"/>
      <c r="J8" s="10"/>
      <c r="K8" s="10"/>
      <c r="L8" s="10"/>
      <c r="M8" s="13"/>
      <c r="N8" s="13"/>
      <c r="O8" s="13"/>
      <c r="P8" s="13"/>
      <c r="Q8" s="13"/>
      <c r="R8" s="13"/>
      <c r="S8" s="13"/>
      <c r="T8" s="13"/>
      <c r="U8" s="13"/>
      <c r="V8" s="13"/>
    </row>
    <row r="9" spans="1:22" s="14" customFormat="1" ht="15" x14ac:dyDescent="0.2">
      <c r="A9" s="316"/>
      <c r="B9" s="16"/>
      <c r="C9" s="10">
        <v>1</v>
      </c>
      <c r="D9" s="11" t="s">
        <v>232</v>
      </c>
      <c r="E9" s="8"/>
      <c r="F9" s="8"/>
      <c r="G9" s="8"/>
      <c r="H9" s="8"/>
      <c r="I9" s="19"/>
      <c r="J9" s="19"/>
      <c r="K9" s="19"/>
      <c r="L9" s="9"/>
      <c r="M9" s="13"/>
      <c r="N9" s="13"/>
      <c r="O9" s="13"/>
      <c r="P9" s="13"/>
      <c r="Q9" s="13"/>
      <c r="R9" s="13"/>
      <c r="S9" s="13"/>
      <c r="T9" s="13"/>
      <c r="U9" s="13"/>
      <c r="V9" s="13"/>
    </row>
    <row r="10" spans="1:22" s="14" customFormat="1" ht="15" x14ac:dyDescent="0.2">
      <c r="A10" s="316"/>
      <c r="B10" s="16"/>
      <c r="C10" s="10">
        <v>2</v>
      </c>
      <c r="D10" s="11" t="s">
        <v>233</v>
      </c>
      <c r="E10" s="8"/>
      <c r="F10" s="8"/>
      <c r="G10" s="8"/>
      <c r="H10" s="8"/>
      <c r="I10" s="19"/>
      <c r="J10" s="19"/>
      <c r="K10" s="19"/>
      <c r="L10" s="9"/>
      <c r="M10" s="13"/>
      <c r="N10" s="13"/>
      <c r="O10" s="13"/>
      <c r="P10" s="13"/>
      <c r="Q10" s="31"/>
      <c r="R10" s="13"/>
      <c r="S10" s="13"/>
      <c r="T10" s="13"/>
      <c r="U10" s="13"/>
      <c r="V10" s="13"/>
    </row>
    <row r="11" spans="1:22" s="14" customFormat="1" ht="15" x14ac:dyDescent="0.2">
      <c r="A11" s="316"/>
      <c r="B11" s="16"/>
      <c r="C11" s="10"/>
      <c r="D11" s="11" t="s">
        <v>234</v>
      </c>
      <c r="E11" s="8"/>
      <c r="F11" s="8"/>
      <c r="G11" s="8"/>
      <c r="H11" s="8"/>
      <c r="I11" s="19"/>
      <c r="J11" s="19"/>
      <c r="K11" s="19"/>
      <c r="L11" s="9"/>
      <c r="M11" s="13"/>
      <c r="N11" s="13"/>
      <c r="O11" s="13"/>
      <c r="P11" s="13"/>
      <c r="Q11" s="13"/>
      <c r="R11" s="13"/>
      <c r="S11" s="13"/>
      <c r="T11" s="13"/>
      <c r="U11" s="13"/>
      <c r="V11" s="13"/>
    </row>
    <row r="12" spans="1:22" s="14" customFormat="1" ht="15" x14ac:dyDescent="0.2">
      <c r="A12" s="316"/>
      <c r="B12" s="16"/>
      <c r="C12" s="18">
        <v>3</v>
      </c>
      <c r="D12" s="14" t="s">
        <v>235</v>
      </c>
      <c r="E12" s="8" t="s">
        <v>236</v>
      </c>
      <c r="F12" s="8" t="s">
        <v>236</v>
      </c>
      <c r="G12" s="8" t="s">
        <v>236</v>
      </c>
      <c r="H12" s="8" t="s">
        <v>236</v>
      </c>
      <c r="I12" s="19" t="s">
        <v>236</v>
      </c>
      <c r="J12" s="19" t="s">
        <v>236</v>
      </c>
      <c r="K12" s="19" t="s">
        <v>236</v>
      </c>
      <c r="L12" s="9" t="s">
        <v>236</v>
      </c>
      <c r="M12" s="13"/>
      <c r="N12" s="13"/>
      <c r="O12" s="13"/>
      <c r="P12" s="13"/>
      <c r="Q12" s="13"/>
      <c r="R12" s="13"/>
      <c r="S12" s="13"/>
      <c r="T12" s="13"/>
      <c r="U12" s="13"/>
      <c r="V12" s="13"/>
    </row>
    <row r="13" spans="1:22" s="14" customFormat="1" ht="12.75" customHeight="1" x14ac:dyDescent="0.2">
      <c r="A13" s="316"/>
      <c r="B13" s="16"/>
      <c r="C13" s="314" t="s">
        <v>196</v>
      </c>
      <c r="D13" s="314"/>
      <c r="E13" s="324"/>
      <c r="F13" s="325"/>
      <c r="G13" s="325"/>
      <c r="H13" s="325"/>
      <c r="I13" s="325"/>
      <c r="J13" s="325"/>
      <c r="K13" s="325"/>
      <c r="L13" s="326"/>
      <c r="M13" s="13"/>
      <c r="N13" s="13"/>
      <c r="O13" s="13"/>
      <c r="P13" s="13"/>
      <c r="Q13" s="13"/>
      <c r="R13" s="13"/>
      <c r="S13" s="13"/>
      <c r="T13" s="13"/>
      <c r="U13" s="13"/>
      <c r="V13" s="13"/>
    </row>
    <row r="14" spans="1:22" s="14" customFormat="1" ht="27.75" customHeight="1" x14ac:dyDescent="0.2">
      <c r="A14" s="316"/>
      <c r="B14" s="17"/>
      <c r="C14" s="28" t="s">
        <v>80</v>
      </c>
      <c r="D14" s="29" t="s">
        <v>201</v>
      </c>
      <c r="E14" s="327"/>
      <c r="F14" s="328"/>
      <c r="G14" s="328"/>
      <c r="H14" s="328"/>
      <c r="I14" s="328"/>
      <c r="J14" s="328"/>
      <c r="K14" s="328"/>
      <c r="L14" s="329"/>
      <c r="M14" s="13"/>
      <c r="N14" s="13"/>
      <c r="O14" s="13"/>
      <c r="P14" s="13"/>
      <c r="Q14" s="13"/>
      <c r="R14" s="13"/>
      <c r="S14" s="13"/>
      <c r="T14" s="13"/>
      <c r="U14" s="13"/>
      <c r="V14" s="13"/>
    </row>
    <row r="15" spans="1:22" s="14" customFormat="1" x14ac:dyDescent="0.2">
      <c r="A15" s="316"/>
      <c r="B15" s="17"/>
      <c r="C15" s="28"/>
      <c r="D15" s="29"/>
      <c r="E15" s="30" t="s">
        <v>245</v>
      </c>
      <c r="F15" s="30" t="s">
        <v>246</v>
      </c>
      <c r="G15" s="30" t="s">
        <v>247</v>
      </c>
      <c r="H15" s="30" t="s">
        <v>248</v>
      </c>
      <c r="I15" s="30" t="s">
        <v>249</v>
      </c>
      <c r="J15" s="30" t="s">
        <v>250</v>
      </c>
      <c r="K15" s="30" t="s">
        <v>251</v>
      </c>
      <c r="L15" s="30" t="s">
        <v>252</v>
      </c>
      <c r="M15" s="13"/>
      <c r="N15" s="13"/>
      <c r="O15" s="13"/>
      <c r="P15" s="13"/>
      <c r="Q15" s="13"/>
      <c r="R15" s="13"/>
      <c r="S15" s="13"/>
      <c r="T15" s="13"/>
      <c r="U15" s="13"/>
      <c r="V15" s="13"/>
    </row>
    <row r="16" spans="1:22" s="14" customFormat="1" ht="15" customHeight="1" x14ac:dyDescent="0.2">
      <c r="A16" s="316"/>
      <c r="B16" s="318" t="s">
        <v>244</v>
      </c>
      <c r="C16" s="12">
        <v>1</v>
      </c>
      <c r="D16" s="10" t="s">
        <v>237</v>
      </c>
      <c r="E16" s="8" t="s">
        <v>195</v>
      </c>
      <c r="F16" s="8"/>
      <c r="G16" s="8"/>
      <c r="H16" s="8"/>
      <c r="I16" s="19"/>
      <c r="J16" s="19"/>
      <c r="K16" s="19"/>
      <c r="L16" s="9"/>
      <c r="M16" s="13"/>
      <c r="N16" s="13"/>
      <c r="O16" s="13"/>
      <c r="P16" s="13"/>
      <c r="Q16" s="13"/>
      <c r="R16" s="13"/>
      <c r="S16" s="13"/>
      <c r="T16" s="13"/>
      <c r="U16" s="13"/>
      <c r="V16" s="13"/>
    </row>
    <row r="17" spans="1:22" s="14" customFormat="1" ht="15" x14ac:dyDescent="0.2">
      <c r="A17" s="316"/>
      <c r="B17" s="319"/>
      <c r="C17" s="12">
        <v>2</v>
      </c>
      <c r="D17" s="10" t="s">
        <v>238</v>
      </c>
      <c r="E17" s="8"/>
      <c r="F17" s="8"/>
      <c r="G17" s="8"/>
      <c r="H17" s="8"/>
      <c r="I17" s="19"/>
      <c r="J17" s="19"/>
      <c r="K17" s="19"/>
      <c r="L17" s="9"/>
      <c r="M17" s="13"/>
      <c r="N17" s="13"/>
      <c r="O17" s="13"/>
      <c r="P17" s="13"/>
      <c r="Q17" s="13"/>
      <c r="R17" s="13"/>
      <c r="S17" s="13"/>
      <c r="T17" s="13"/>
      <c r="U17" s="13"/>
      <c r="V17" s="13"/>
    </row>
    <row r="18" spans="1:22" s="14" customFormat="1" ht="25.5" x14ac:dyDescent="0.2">
      <c r="A18" s="316"/>
      <c r="B18" s="319"/>
      <c r="C18" s="12">
        <v>3</v>
      </c>
      <c r="D18" s="10" t="s">
        <v>239</v>
      </c>
      <c r="E18" s="8"/>
      <c r="F18" s="8"/>
      <c r="G18" s="8"/>
      <c r="H18" s="8"/>
      <c r="I18" s="19"/>
      <c r="J18" s="19"/>
      <c r="K18" s="19"/>
      <c r="L18" s="9"/>
      <c r="M18" s="13"/>
      <c r="N18" s="13"/>
      <c r="O18" s="13"/>
      <c r="P18" s="13"/>
      <c r="Q18" s="13"/>
      <c r="R18" s="13"/>
      <c r="S18" s="13"/>
      <c r="T18" s="13"/>
      <c r="U18" s="13"/>
      <c r="V18" s="13"/>
    </row>
    <row r="19" spans="1:22" s="14" customFormat="1" ht="25.5" x14ac:dyDescent="0.2">
      <c r="A19" s="316"/>
      <c r="B19" s="319"/>
      <c r="C19" s="12">
        <v>4</v>
      </c>
      <c r="D19" s="10" t="s">
        <v>240</v>
      </c>
      <c r="E19" s="8"/>
      <c r="F19" s="8"/>
      <c r="G19" s="8"/>
      <c r="H19" s="8"/>
      <c r="I19" s="19"/>
      <c r="J19" s="19"/>
      <c r="K19" s="19"/>
      <c r="L19" s="9"/>
      <c r="M19" s="13"/>
      <c r="N19" s="13"/>
      <c r="O19" s="13"/>
      <c r="P19" s="13"/>
      <c r="Q19" s="13"/>
      <c r="R19" s="13"/>
      <c r="S19" s="13"/>
      <c r="T19" s="13"/>
      <c r="U19" s="13"/>
      <c r="V19" s="13"/>
    </row>
    <row r="20" spans="1:22" s="14" customFormat="1" ht="15" x14ac:dyDescent="0.2">
      <c r="A20" s="316"/>
      <c r="B20" s="319"/>
      <c r="C20" s="12">
        <v>5</v>
      </c>
      <c r="D20" s="10" t="s">
        <v>241</v>
      </c>
      <c r="E20" s="8"/>
      <c r="F20" s="8"/>
      <c r="G20" s="8"/>
      <c r="H20" s="8"/>
      <c r="I20" s="19"/>
      <c r="J20" s="19"/>
      <c r="K20" s="19"/>
      <c r="L20" s="9"/>
      <c r="M20" s="13"/>
      <c r="N20" s="13"/>
      <c r="O20" s="13"/>
      <c r="P20" s="13"/>
      <c r="Q20" s="13"/>
      <c r="R20" s="13"/>
      <c r="S20" s="13"/>
      <c r="T20" s="13"/>
      <c r="U20" s="13"/>
      <c r="V20" s="13"/>
    </row>
    <row r="21" spans="1:22" s="14" customFormat="1" ht="15" x14ac:dyDescent="0.2">
      <c r="A21" s="316"/>
      <c r="B21" s="319"/>
      <c r="C21" s="12">
        <v>6</v>
      </c>
      <c r="D21" s="10" t="s">
        <v>242</v>
      </c>
      <c r="E21" s="8"/>
      <c r="F21" s="8"/>
      <c r="G21" s="8"/>
      <c r="H21" s="8"/>
      <c r="I21" s="19"/>
      <c r="J21" s="19"/>
      <c r="K21" s="19"/>
      <c r="L21" s="9"/>
      <c r="M21" s="13"/>
      <c r="N21" s="13"/>
      <c r="O21" s="13"/>
      <c r="P21" s="13"/>
      <c r="Q21" s="13"/>
      <c r="R21" s="13"/>
      <c r="S21" s="13"/>
      <c r="T21" s="13"/>
      <c r="U21" s="13"/>
      <c r="V21" s="13"/>
    </row>
    <row r="22" spans="1:22" s="14" customFormat="1" ht="15.75" thickBot="1" x14ac:dyDescent="0.25">
      <c r="A22" s="317"/>
      <c r="B22" s="320"/>
      <c r="C22" s="12">
        <v>7</v>
      </c>
      <c r="D22" s="10" t="s">
        <v>243</v>
      </c>
      <c r="E22" s="8"/>
      <c r="F22" s="8"/>
      <c r="G22" s="8"/>
      <c r="H22" s="8"/>
      <c r="I22" s="19"/>
      <c r="J22" s="19"/>
      <c r="K22" s="19"/>
      <c r="L22" s="9"/>
      <c r="M22" s="13"/>
      <c r="N22" s="13"/>
      <c r="O22" s="13"/>
      <c r="P22" s="13"/>
      <c r="Q22" s="13"/>
      <c r="R22" s="13"/>
      <c r="S22" s="13"/>
      <c r="T22" s="13"/>
      <c r="U22" s="13"/>
      <c r="V22" s="13"/>
    </row>
    <row r="23" spans="1:22" s="6" customFormat="1" x14ac:dyDescent="0.2"/>
    <row r="24" spans="1:22" s="6" customFormat="1" x14ac:dyDescent="0.2"/>
    <row r="25" spans="1:22" s="6" customFormat="1" x14ac:dyDescent="0.2"/>
    <row r="26" spans="1:22" s="6" customFormat="1" x14ac:dyDescent="0.2"/>
    <row r="27" spans="1:22" s="6" customFormat="1" x14ac:dyDescent="0.2"/>
    <row r="28" spans="1:22" s="6" customFormat="1" x14ac:dyDescent="0.2"/>
    <row r="29" spans="1:22" s="6" customFormat="1" x14ac:dyDescent="0.2"/>
    <row r="30" spans="1:22" s="6" customFormat="1" x14ac:dyDescent="0.2"/>
    <row r="31" spans="1:22" s="6" customFormat="1" x14ac:dyDescent="0.2"/>
    <row r="32" spans="1:22" s="6" customFormat="1" x14ac:dyDescent="0.2"/>
    <row r="33" s="6" customFormat="1" x14ac:dyDescent="0.2"/>
    <row r="34" s="6" customFormat="1" x14ac:dyDescent="0.2"/>
    <row r="35" s="6" customFormat="1" x14ac:dyDescent="0.2"/>
    <row r="36" s="6" customFormat="1" x14ac:dyDescent="0.2"/>
    <row r="37" s="6" customFormat="1" x14ac:dyDescent="0.2"/>
    <row r="38" s="6" customFormat="1" x14ac:dyDescent="0.2"/>
    <row r="39" s="6" customFormat="1" x14ac:dyDescent="0.2"/>
    <row r="40" s="6" customFormat="1" x14ac:dyDescent="0.2"/>
    <row r="41" s="6" customFormat="1" x14ac:dyDescent="0.2"/>
    <row r="42" s="6" customFormat="1" x14ac:dyDescent="0.2"/>
    <row r="43" s="6" customFormat="1" x14ac:dyDescent="0.2"/>
    <row r="44" s="6" customFormat="1" x14ac:dyDescent="0.2"/>
    <row r="45" s="6" customFormat="1" x14ac:dyDescent="0.2"/>
    <row r="46" s="6" customFormat="1" x14ac:dyDescent="0.2"/>
    <row r="47" s="6" customFormat="1" x14ac:dyDescent="0.2"/>
    <row r="48" s="6" customFormat="1" x14ac:dyDescent="0.2"/>
    <row r="49" spans="3:12" x14ac:dyDescent="0.2">
      <c r="C49" s="6"/>
      <c r="D49" s="6"/>
      <c r="E49" s="6"/>
      <c r="F49" s="6"/>
      <c r="G49" s="6"/>
      <c r="H49" s="6"/>
      <c r="I49" s="6"/>
      <c r="J49" s="6"/>
      <c r="K49" s="6"/>
      <c r="L49" s="6"/>
    </row>
    <row r="50" spans="3:12" x14ac:dyDescent="0.2">
      <c r="C50" s="6"/>
      <c r="D50" s="6"/>
      <c r="E50" s="6"/>
      <c r="F50" s="6"/>
      <c r="G50" s="6"/>
      <c r="H50" s="6"/>
      <c r="I50" s="6"/>
      <c r="J50" s="6"/>
      <c r="K50" s="6"/>
      <c r="L50" s="6"/>
    </row>
    <row r="51" spans="3:12" x14ac:dyDescent="0.2">
      <c r="C51" s="6"/>
      <c r="D51" s="6"/>
      <c r="E51" s="6"/>
      <c r="F51" s="6"/>
      <c r="G51" s="6"/>
      <c r="H51" s="6"/>
      <c r="I51" s="6"/>
      <c r="J51" s="6"/>
      <c r="K51" s="6"/>
      <c r="L51" s="6"/>
    </row>
    <row r="52" spans="3:12" x14ac:dyDescent="0.2">
      <c r="C52" s="6"/>
      <c r="D52" s="6"/>
      <c r="E52" s="6"/>
      <c r="F52" s="6"/>
      <c r="G52" s="6"/>
      <c r="H52" s="6"/>
      <c r="I52" s="6"/>
      <c r="J52" s="6"/>
      <c r="K52" s="6"/>
      <c r="L52" s="6"/>
    </row>
    <row r="53" spans="3:12" x14ac:dyDescent="0.2">
      <c r="C53" s="6"/>
      <c r="D53" s="6"/>
      <c r="E53" s="6"/>
      <c r="F53" s="6"/>
      <c r="G53" s="6"/>
      <c r="H53" s="6"/>
      <c r="I53" s="6"/>
      <c r="J53" s="6"/>
      <c r="K53" s="6"/>
      <c r="L53" s="6"/>
    </row>
  </sheetData>
  <mergeCells count="13">
    <mergeCell ref="C13:D13"/>
    <mergeCell ref="A6:A22"/>
    <mergeCell ref="B16:B22"/>
    <mergeCell ref="E4:L4"/>
    <mergeCell ref="E13:L14"/>
    <mergeCell ref="A4:A5"/>
    <mergeCell ref="C4:C5"/>
    <mergeCell ref="D4:D5"/>
    <mergeCell ref="A1:L1"/>
    <mergeCell ref="A2:C2"/>
    <mergeCell ref="D2:L2"/>
    <mergeCell ref="A3:D3"/>
    <mergeCell ref="E3:L3"/>
  </mergeCells>
  <phoneticPr fontId="0" type="noConversion"/>
  <printOptions horizontalCentered="1" verticalCentered="1"/>
  <pageMargins left="0.75" right="0.75" top="1.25" bottom="1" header="0.5" footer="0.5"/>
  <pageSetup orientation="landscape" horizontalDpi="4294967292" verticalDpi="300" r:id="rId1"/>
  <headerFooter alignWithMargins="0"/>
  <colBreaks count="1" manualBreakCount="1">
    <brk id="14" max="1048575" man="1"/>
  </colBreaks>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976"/>
  <sheetViews>
    <sheetView showGridLines="0" tabSelected="1" view="pageBreakPreview" topLeftCell="B8" zoomScale="80" zoomScaleNormal="70" zoomScaleSheetLayoutView="80" workbookViewId="0">
      <pane ySplit="1" topLeftCell="A9" activePane="bottomLeft" state="frozen"/>
      <selection activeCell="A8" sqref="A8"/>
      <selection pane="bottomLeft" activeCell="J21" sqref="J21"/>
    </sheetView>
  </sheetViews>
  <sheetFormatPr defaultRowHeight="12.75" x14ac:dyDescent="0.2"/>
  <cols>
    <col min="1" max="1" width="9.140625" style="69"/>
    <col min="2" max="2" width="20.85546875" style="69" customWidth="1"/>
    <col min="3" max="3" width="19.28515625" style="69" customWidth="1"/>
    <col min="4" max="4" width="26" style="69" customWidth="1"/>
    <col min="5" max="5" width="53.28515625" style="69" customWidth="1"/>
    <col min="6" max="6" width="35.5703125" style="69" customWidth="1"/>
    <col min="7" max="7" width="63.5703125" style="69" customWidth="1"/>
    <col min="8" max="8" width="20.42578125" style="69" customWidth="1"/>
    <col min="9" max="9" width="44.85546875" style="166" customWidth="1"/>
    <col min="10" max="10" width="13.28515625" style="69" customWidth="1"/>
    <col min="11" max="11" width="23.28515625" style="69" customWidth="1"/>
    <col min="12" max="12" width="15.28515625" style="69" customWidth="1"/>
    <col min="13" max="13" width="12.5703125" style="69" customWidth="1"/>
    <col min="14" max="14" width="19.85546875" style="69" customWidth="1"/>
    <col min="15" max="15" width="29.7109375" style="68" customWidth="1"/>
    <col min="16" max="46" width="9.140625" style="68"/>
    <col min="47" max="16384" width="9.140625" style="69"/>
  </cols>
  <sheetData>
    <row r="1" spans="1:49" ht="15.75" x14ac:dyDescent="0.2">
      <c r="A1" s="347" t="s">
        <v>47</v>
      </c>
      <c r="B1" s="347"/>
      <c r="C1" s="347"/>
      <c r="D1" s="347"/>
      <c r="E1" s="347"/>
      <c r="F1" s="347"/>
      <c r="G1" s="347"/>
      <c r="H1" s="347"/>
      <c r="I1" s="347"/>
      <c r="J1" s="347"/>
      <c r="K1" s="347"/>
      <c r="L1" s="347"/>
      <c r="M1" s="347"/>
      <c r="N1" s="347"/>
      <c r="O1" s="347"/>
    </row>
    <row r="2" spans="1:49" s="162" customFormat="1" x14ac:dyDescent="0.2">
      <c r="A2" s="339" t="s">
        <v>6</v>
      </c>
      <c r="B2" s="348"/>
      <c r="C2" s="340"/>
      <c r="D2" s="361" t="str">
        <f>IF('Test Plan &amp; Results Summary'!C2="","",'Test Plan &amp; Results Summary'!C2)</f>
        <v/>
      </c>
      <c r="E2" s="362"/>
      <c r="F2" s="362"/>
      <c r="G2" s="362"/>
      <c r="H2" s="363"/>
      <c r="I2" s="152" t="s">
        <v>7</v>
      </c>
      <c r="J2" s="334" t="s">
        <v>393</v>
      </c>
      <c r="K2" s="335"/>
      <c r="L2" s="335"/>
      <c r="M2" s="335"/>
      <c r="N2" s="335"/>
      <c r="O2" s="336"/>
      <c r="P2" s="161"/>
      <c r="Q2" s="161"/>
      <c r="R2" s="161"/>
      <c r="S2" s="161"/>
      <c r="T2" s="161"/>
      <c r="U2" s="161"/>
      <c r="V2" s="161"/>
      <c r="W2" s="161"/>
      <c r="X2" s="161"/>
      <c r="Y2" s="161"/>
      <c r="Z2" s="161"/>
      <c r="AA2" s="161"/>
      <c r="AB2" s="161"/>
      <c r="AC2" s="161"/>
      <c r="AD2" s="161"/>
      <c r="AE2" s="161"/>
      <c r="AF2" s="161"/>
      <c r="AG2" s="161"/>
      <c r="AH2" s="161"/>
      <c r="AI2" s="161"/>
      <c r="AJ2" s="161"/>
      <c r="AK2" s="161"/>
      <c r="AL2" s="161"/>
      <c r="AM2" s="161"/>
      <c r="AN2" s="161"/>
      <c r="AO2" s="161"/>
      <c r="AP2" s="161"/>
      <c r="AQ2" s="161"/>
      <c r="AR2" s="161"/>
      <c r="AS2" s="161"/>
      <c r="AT2" s="161"/>
    </row>
    <row r="3" spans="1:49" s="162" customFormat="1" x14ac:dyDescent="0.2">
      <c r="A3" s="339" t="s">
        <v>42</v>
      </c>
      <c r="B3" s="348"/>
      <c r="C3" s="340"/>
      <c r="D3" s="344"/>
      <c r="E3" s="345"/>
      <c r="F3" s="346"/>
      <c r="G3" s="337"/>
      <c r="H3" s="338"/>
      <c r="I3" s="140" t="s">
        <v>373</v>
      </c>
      <c r="J3" s="156" t="s">
        <v>377</v>
      </c>
      <c r="K3" s="339" t="s">
        <v>15</v>
      </c>
      <c r="L3" s="340"/>
      <c r="M3" s="341" t="s">
        <v>392</v>
      </c>
      <c r="N3" s="342"/>
      <c r="O3" s="343"/>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1"/>
    </row>
    <row r="4" spans="1:49" s="162" customFormat="1" x14ac:dyDescent="0.2">
      <c r="A4" s="339" t="s">
        <v>28</v>
      </c>
      <c r="B4" s="348"/>
      <c r="C4" s="340"/>
      <c r="D4" s="358" t="s">
        <v>394</v>
      </c>
      <c r="E4" s="359"/>
      <c r="F4" s="359"/>
      <c r="G4" s="359"/>
      <c r="H4" s="360"/>
      <c r="I4" s="152" t="s">
        <v>29</v>
      </c>
      <c r="J4" s="356"/>
      <c r="K4" s="356"/>
      <c r="L4" s="356"/>
      <c r="M4" s="356"/>
      <c r="N4" s="356"/>
      <c r="O4" s="357"/>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1"/>
    </row>
    <row r="5" spans="1:49" s="162" customFormat="1" x14ac:dyDescent="0.2">
      <c r="A5" s="339" t="s">
        <v>334</v>
      </c>
      <c r="B5" s="348"/>
      <c r="C5" s="340"/>
      <c r="D5" s="358" t="s">
        <v>379</v>
      </c>
      <c r="E5" s="359"/>
      <c r="F5" s="359"/>
      <c r="G5" s="359"/>
      <c r="H5" s="359"/>
      <c r="I5" s="359"/>
      <c r="J5" s="359"/>
      <c r="K5" s="359"/>
      <c r="L5" s="359"/>
      <c r="M5" s="359"/>
      <c r="N5" s="359"/>
      <c r="O5" s="360"/>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1"/>
      <c r="AS5" s="161"/>
      <c r="AT5" s="161"/>
    </row>
    <row r="6" spans="1:49" s="162" customFormat="1" ht="15" x14ac:dyDescent="0.2">
      <c r="A6" s="364" t="s">
        <v>213</v>
      </c>
      <c r="B6" s="364"/>
      <c r="C6" s="364"/>
      <c r="D6" s="364"/>
      <c r="E6" s="364"/>
      <c r="F6" s="364"/>
      <c r="G6" s="364"/>
      <c r="H6" s="364"/>
      <c r="I6" s="364"/>
      <c r="J6" s="351" t="s">
        <v>27</v>
      </c>
      <c r="K6" s="352"/>
      <c r="L6" s="351" t="s">
        <v>43</v>
      </c>
      <c r="M6" s="352"/>
      <c r="N6" s="349" t="s">
        <v>66</v>
      </c>
      <c r="O6" s="349" t="s">
        <v>219</v>
      </c>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row>
    <row r="7" spans="1:49" s="162" customFormat="1" x14ac:dyDescent="0.2">
      <c r="A7" s="354" t="s">
        <v>46</v>
      </c>
      <c r="B7" s="354" t="s">
        <v>214</v>
      </c>
      <c r="C7" s="354" t="s">
        <v>26</v>
      </c>
      <c r="D7" s="349" t="s">
        <v>32</v>
      </c>
      <c r="E7" s="349" t="s">
        <v>215</v>
      </c>
      <c r="F7" s="354" t="s">
        <v>216</v>
      </c>
      <c r="G7" s="355" t="s">
        <v>395</v>
      </c>
      <c r="H7" s="354" t="s">
        <v>18</v>
      </c>
      <c r="I7" s="354"/>
      <c r="J7" s="349" t="s">
        <v>40</v>
      </c>
      <c r="K7" s="349" t="s">
        <v>19</v>
      </c>
      <c r="L7" s="349" t="s">
        <v>40</v>
      </c>
      <c r="M7" s="349" t="s">
        <v>19</v>
      </c>
      <c r="N7" s="353"/>
      <c r="O7" s="353"/>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row>
    <row r="8" spans="1:49" s="168" customFormat="1" ht="38.25" customHeight="1" x14ac:dyDescent="0.2">
      <c r="A8" s="354"/>
      <c r="B8" s="354"/>
      <c r="C8" s="354"/>
      <c r="D8" s="350"/>
      <c r="E8" s="350"/>
      <c r="F8" s="354"/>
      <c r="G8" s="354"/>
      <c r="H8" s="194" t="s">
        <v>203</v>
      </c>
      <c r="I8" s="155" t="s">
        <v>284</v>
      </c>
      <c r="J8" s="350"/>
      <c r="K8" s="350"/>
      <c r="L8" s="350"/>
      <c r="M8" s="350"/>
      <c r="N8" s="350"/>
      <c r="O8" s="350"/>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row>
    <row r="9" spans="1:49" s="143" customFormat="1" ht="114" customHeight="1" x14ac:dyDescent="0.2">
      <c r="A9" s="197">
        <v>1</v>
      </c>
      <c r="B9" s="144" t="s">
        <v>391</v>
      </c>
      <c r="C9" s="154">
        <v>44170</v>
      </c>
      <c r="D9" s="169" t="s">
        <v>380</v>
      </c>
      <c r="E9" s="144" t="s">
        <v>428</v>
      </c>
      <c r="F9" s="144" t="s">
        <v>429</v>
      </c>
      <c r="G9" s="144" t="s">
        <v>436</v>
      </c>
      <c r="H9" s="144" t="s">
        <v>377</v>
      </c>
      <c r="I9" s="150" t="s">
        <v>414</v>
      </c>
      <c r="J9" s="144"/>
      <c r="K9" s="144" t="s">
        <v>469</v>
      </c>
      <c r="O9" s="170"/>
      <c r="P9" s="170"/>
      <c r="Q9" s="170"/>
      <c r="R9" s="170"/>
      <c r="S9" s="170"/>
      <c r="T9" s="170"/>
      <c r="U9" s="170"/>
      <c r="V9" s="170"/>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row>
    <row r="10" spans="1:49" s="145" customFormat="1" ht="119.25" customHeight="1" x14ac:dyDescent="0.2">
      <c r="A10" s="197">
        <v>2</v>
      </c>
      <c r="B10" s="144" t="s">
        <v>396</v>
      </c>
      <c r="C10" s="154">
        <v>44170</v>
      </c>
      <c r="D10" s="169" t="s">
        <v>381</v>
      </c>
      <c r="E10" s="192" t="s">
        <v>415</v>
      </c>
      <c r="F10" s="144"/>
      <c r="G10" s="192" t="s">
        <v>441</v>
      </c>
      <c r="H10" s="144" t="s">
        <v>377</v>
      </c>
      <c r="I10" s="193" t="s">
        <v>442</v>
      </c>
      <c r="J10" s="202"/>
      <c r="K10" s="144" t="s">
        <v>469</v>
      </c>
      <c r="L10" s="143"/>
      <c r="M10" s="143"/>
      <c r="N10" s="143"/>
      <c r="O10" s="170"/>
      <c r="P10" s="170"/>
      <c r="Q10" s="170"/>
      <c r="R10" s="170"/>
      <c r="S10" s="170"/>
      <c r="T10" s="170"/>
      <c r="U10" s="170"/>
      <c r="V10" s="170"/>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3"/>
      <c r="AV10" s="183"/>
      <c r="AW10" s="183"/>
    </row>
    <row r="11" spans="1:49" s="145" customFormat="1" ht="111" customHeight="1" x14ac:dyDescent="0.2">
      <c r="A11" s="197">
        <v>3</v>
      </c>
      <c r="B11" s="144" t="s">
        <v>397</v>
      </c>
      <c r="C11" s="154">
        <v>44170</v>
      </c>
      <c r="D11" s="169" t="s">
        <v>382</v>
      </c>
      <c r="E11" s="144" t="s">
        <v>416</v>
      </c>
      <c r="F11" s="144"/>
      <c r="G11" s="144" t="s">
        <v>417</v>
      </c>
      <c r="H11" s="144" t="s">
        <v>377</v>
      </c>
      <c r="I11" s="171" t="s">
        <v>435</v>
      </c>
      <c r="J11" s="144"/>
      <c r="K11" s="144" t="s">
        <v>469</v>
      </c>
      <c r="L11" s="143"/>
      <c r="M11" s="143"/>
      <c r="N11" s="143"/>
      <c r="O11" s="170"/>
      <c r="P11" s="170"/>
      <c r="Q11" s="170"/>
      <c r="R11" s="170"/>
      <c r="S11" s="170"/>
      <c r="T11" s="170"/>
      <c r="U11" s="170"/>
      <c r="V11" s="170"/>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3"/>
      <c r="AV11" s="183"/>
      <c r="AW11" s="183"/>
    </row>
    <row r="12" spans="1:49" s="145" customFormat="1" ht="109.5" customHeight="1" x14ac:dyDescent="0.2">
      <c r="A12" s="197">
        <v>4</v>
      </c>
      <c r="B12" s="144" t="s">
        <v>398</v>
      </c>
      <c r="C12" s="154">
        <v>44170</v>
      </c>
      <c r="D12" s="169" t="s">
        <v>383</v>
      </c>
      <c r="E12" s="144" t="s">
        <v>418</v>
      </c>
      <c r="F12" s="144"/>
      <c r="G12" s="144" t="s">
        <v>419</v>
      </c>
      <c r="H12" s="144" t="s">
        <v>377</v>
      </c>
      <c r="I12" s="144" t="s">
        <v>420</v>
      </c>
      <c r="J12" s="144"/>
      <c r="K12" s="144" t="s">
        <v>469</v>
      </c>
      <c r="L12" s="143"/>
      <c r="M12" s="143"/>
      <c r="N12" s="143"/>
      <c r="O12" s="170"/>
      <c r="P12" s="170"/>
      <c r="Q12" s="170"/>
      <c r="R12" s="170"/>
      <c r="S12" s="170"/>
      <c r="T12" s="170"/>
      <c r="U12" s="170"/>
      <c r="V12" s="170"/>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3"/>
      <c r="AV12" s="183"/>
      <c r="AW12" s="183"/>
    </row>
    <row r="13" spans="1:49" s="145" customFormat="1" ht="140.25" customHeight="1" x14ac:dyDescent="0.2">
      <c r="A13" s="197">
        <v>5</v>
      </c>
      <c r="B13" s="144" t="s">
        <v>399</v>
      </c>
      <c r="C13" s="195">
        <v>44170</v>
      </c>
      <c r="D13" s="171" t="s">
        <v>384</v>
      </c>
      <c r="E13" s="148" t="s">
        <v>421</v>
      </c>
      <c r="F13" s="147"/>
      <c r="G13" s="148" t="s">
        <v>422</v>
      </c>
      <c r="H13" s="148" t="s">
        <v>377</v>
      </c>
      <c r="I13" s="157" t="s">
        <v>423</v>
      </c>
      <c r="J13" s="143"/>
      <c r="K13" s="144" t="s">
        <v>469</v>
      </c>
      <c r="L13" s="143"/>
      <c r="M13" s="143"/>
      <c r="N13" s="143"/>
      <c r="O13" s="170"/>
      <c r="P13" s="170"/>
      <c r="Q13" s="170"/>
      <c r="R13" s="170"/>
      <c r="S13" s="170"/>
      <c r="T13" s="170"/>
      <c r="U13" s="170"/>
      <c r="V13" s="170"/>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8"/>
      <c r="AV13" s="168"/>
      <c r="AW13" s="168"/>
    </row>
    <row r="14" spans="1:49" s="143" customFormat="1" ht="129" customHeight="1" x14ac:dyDescent="0.2">
      <c r="A14" s="197">
        <v>6</v>
      </c>
      <c r="B14" s="144" t="s">
        <v>400</v>
      </c>
      <c r="C14" s="154">
        <v>44170</v>
      </c>
      <c r="D14" s="169" t="s">
        <v>385</v>
      </c>
      <c r="E14" s="144" t="s">
        <v>424</v>
      </c>
      <c r="F14" s="144"/>
      <c r="G14" s="144" t="s">
        <v>425</v>
      </c>
      <c r="H14" s="144" t="s">
        <v>377</v>
      </c>
      <c r="I14" s="150" t="s">
        <v>426</v>
      </c>
      <c r="K14" s="144" t="s">
        <v>469</v>
      </c>
      <c r="O14" s="170"/>
      <c r="P14" s="170"/>
      <c r="Q14" s="170"/>
      <c r="R14" s="170"/>
      <c r="S14" s="170"/>
      <c r="T14" s="170"/>
      <c r="U14" s="170"/>
      <c r="V14" s="170"/>
      <c r="W14" s="170"/>
      <c r="X14" s="170"/>
      <c r="Y14" s="170"/>
      <c r="Z14" s="170"/>
      <c r="AA14" s="170"/>
      <c r="AB14" s="170"/>
      <c r="AC14" s="170"/>
      <c r="AD14" s="170"/>
      <c r="AE14" s="170"/>
      <c r="AF14" s="170"/>
      <c r="AG14" s="170"/>
      <c r="AH14" s="170"/>
      <c r="AI14" s="170"/>
      <c r="AJ14" s="170"/>
      <c r="AK14" s="170"/>
      <c r="AL14" s="170"/>
      <c r="AM14" s="170"/>
      <c r="AN14" s="170"/>
      <c r="AO14" s="170"/>
      <c r="AP14" s="170"/>
      <c r="AQ14" s="170"/>
      <c r="AR14" s="170"/>
      <c r="AS14" s="170"/>
      <c r="AT14" s="170"/>
    </row>
    <row r="15" spans="1:49" s="168" customFormat="1" ht="117" customHeight="1" x14ac:dyDescent="0.2">
      <c r="A15" s="197">
        <v>7</v>
      </c>
      <c r="B15" s="144" t="s">
        <v>401</v>
      </c>
      <c r="C15" s="195">
        <v>44170</v>
      </c>
      <c r="D15" s="148" t="s">
        <v>386</v>
      </c>
      <c r="E15" s="172" t="s">
        <v>444</v>
      </c>
      <c r="F15" s="138"/>
      <c r="G15" s="144" t="s">
        <v>443</v>
      </c>
      <c r="H15" s="144" t="s">
        <v>377</v>
      </c>
      <c r="I15" s="144" t="s">
        <v>427</v>
      </c>
      <c r="J15" s="146"/>
      <c r="K15" s="138" t="s">
        <v>469</v>
      </c>
      <c r="L15" s="146"/>
      <c r="M15" s="146"/>
      <c r="N15" s="173"/>
      <c r="O15" s="173"/>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row>
    <row r="16" spans="1:49" s="168" customFormat="1" ht="111" customHeight="1" x14ac:dyDescent="0.2">
      <c r="A16" s="197">
        <v>8</v>
      </c>
      <c r="B16" s="144" t="s">
        <v>402</v>
      </c>
      <c r="C16" s="195">
        <v>44170</v>
      </c>
      <c r="D16" s="138" t="s">
        <v>387</v>
      </c>
      <c r="E16" s="200" t="s">
        <v>445</v>
      </c>
      <c r="F16" s="138"/>
      <c r="G16" s="148" t="s">
        <v>446</v>
      </c>
      <c r="H16" s="148" t="s">
        <v>377</v>
      </c>
      <c r="I16" s="148" t="s">
        <v>447</v>
      </c>
      <c r="J16" s="146"/>
      <c r="K16" s="138" t="s">
        <v>469</v>
      </c>
      <c r="L16" s="146"/>
      <c r="M16" s="146"/>
      <c r="N16" s="173"/>
      <c r="O16" s="173"/>
      <c r="P16" s="167"/>
      <c r="Q16" s="167"/>
      <c r="R16" s="167"/>
      <c r="S16" s="167"/>
      <c r="T16" s="167"/>
      <c r="U16" s="167"/>
      <c r="V16" s="167"/>
      <c r="W16" s="167"/>
      <c r="X16" s="167"/>
      <c r="Y16" s="167"/>
      <c r="Z16" s="167"/>
      <c r="AA16" s="167"/>
      <c r="AB16" s="167"/>
      <c r="AC16" s="167"/>
      <c r="AD16" s="167"/>
      <c r="AE16" s="167"/>
      <c r="AF16" s="167"/>
      <c r="AG16" s="167"/>
      <c r="AH16" s="167"/>
      <c r="AI16" s="167"/>
      <c r="AJ16" s="167"/>
      <c r="AK16" s="167"/>
      <c r="AL16" s="167"/>
      <c r="AM16" s="167"/>
      <c r="AN16" s="167"/>
      <c r="AO16" s="167"/>
      <c r="AP16" s="167"/>
      <c r="AQ16" s="167"/>
      <c r="AR16" s="167"/>
      <c r="AS16" s="167"/>
      <c r="AT16" s="167"/>
    </row>
    <row r="17" spans="1:49" s="168" customFormat="1" ht="108" customHeight="1" x14ac:dyDescent="0.2">
      <c r="A17" s="197">
        <v>9</v>
      </c>
      <c r="B17" s="144" t="s">
        <v>432</v>
      </c>
      <c r="C17" s="201">
        <v>44170</v>
      </c>
      <c r="D17" s="138" t="s">
        <v>431</v>
      </c>
      <c r="E17" s="169" t="s">
        <v>437</v>
      </c>
      <c r="F17" s="199"/>
      <c r="G17" s="169" t="s">
        <v>438</v>
      </c>
      <c r="H17" s="198" t="s">
        <v>377</v>
      </c>
      <c r="I17" s="169" t="s">
        <v>439</v>
      </c>
      <c r="J17" s="190"/>
      <c r="K17" s="144" t="s">
        <v>469</v>
      </c>
      <c r="L17" s="143"/>
      <c r="M17" s="143"/>
      <c r="N17" s="143"/>
      <c r="O17" s="170"/>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row>
    <row r="18" spans="1:49" s="168" customFormat="1" ht="126.75" customHeight="1" x14ac:dyDescent="0.2">
      <c r="A18" s="197">
        <v>10</v>
      </c>
      <c r="B18" s="144" t="s">
        <v>433</v>
      </c>
      <c r="C18" s="195">
        <v>44170</v>
      </c>
      <c r="D18" s="148" t="s">
        <v>434</v>
      </c>
      <c r="E18" s="138" t="s">
        <v>430</v>
      </c>
      <c r="F18" s="144"/>
      <c r="G18" s="138" t="s">
        <v>448</v>
      </c>
      <c r="H18" s="144" t="s">
        <v>377</v>
      </c>
      <c r="I18" s="196" t="s">
        <v>449</v>
      </c>
      <c r="J18" s="143"/>
      <c r="K18" s="144" t="s">
        <v>469</v>
      </c>
      <c r="L18" s="143"/>
      <c r="M18" s="143"/>
      <c r="N18" s="143"/>
      <c r="O18" s="170"/>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row>
    <row r="19" spans="1:49" s="168" customFormat="1" ht="117.75" customHeight="1" x14ac:dyDescent="0.2">
      <c r="A19" s="184">
        <v>11</v>
      </c>
      <c r="B19" s="144" t="s">
        <v>450</v>
      </c>
      <c r="C19" s="139">
        <v>44170</v>
      </c>
      <c r="D19" s="147" t="s">
        <v>451</v>
      </c>
      <c r="E19" s="144" t="s">
        <v>452</v>
      </c>
      <c r="F19" s="144"/>
      <c r="G19" s="144" t="s">
        <v>453</v>
      </c>
      <c r="H19" s="144" t="s">
        <v>377</v>
      </c>
      <c r="I19" s="150" t="s">
        <v>454</v>
      </c>
      <c r="J19" s="143"/>
      <c r="K19" s="144" t="s">
        <v>469</v>
      </c>
      <c r="L19" s="143"/>
      <c r="M19" s="143"/>
      <c r="N19" s="143"/>
      <c r="O19" s="170"/>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5"/>
      <c r="AV19" s="175"/>
      <c r="AW19" s="175"/>
    </row>
    <row r="20" spans="1:49" s="175" customFormat="1" ht="105" customHeight="1" x14ac:dyDescent="0.2">
      <c r="A20" s="184">
        <v>12</v>
      </c>
      <c r="B20" s="144" t="s">
        <v>455</v>
      </c>
      <c r="C20" s="142">
        <v>44170</v>
      </c>
      <c r="D20" s="169" t="s">
        <v>456</v>
      </c>
      <c r="E20" s="144" t="s">
        <v>457</v>
      </c>
      <c r="F20" s="144"/>
      <c r="G20" s="144" t="s">
        <v>458</v>
      </c>
      <c r="H20" s="144" t="s">
        <v>377</v>
      </c>
      <c r="I20" s="150" t="s">
        <v>459</v>
      </c>
      <c r="J20" s="141"/>
      <c r="K20" s="144" t="s">
        <v>469</v>
      </c>
      <c r="L20" s="141"/>
      <c r="M20" s="141"/>
      <c r="N20" s="141"/>
      <c r="O20" s="176"/>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4"/>
      <c r="AO20" s="174"/>
      <c r="AP20" s="174"/>
      <c r="AQ20" s="174"/>
      <c r="AR20" s="174"/>
      <c r="AS20" s="174"/>
      <c r="AT20" s="174"/>
    </row>
    <row r="21" spans="1:49" s="175" customFormat="1" ht="117.75" customHeight="1" x14ac:dyDescent="0.2">
      <c r="A21" s="184">
        <v>13</v>
      </c>
      <c r="B21" s="144" t="s">
        <v>460</v>
      </c>
      <c r="C21" s="158">
        <v>44170</v>
      </c>
      <c r="D21" s="147" t="s">
        <v>461</v>
      </c>
      <c r="E21" s="147" t="s">
        <v>462</v>
      </c>
      <c r="F21" s="147"/>
      <c r="G21" s="147" t="s">
        <v>463</v>
      </c>
      <c r="H21" s="147" t="s">
        <v>377</v>
      </c>
      <c r="I21" s="149" t="s">
        <v>459</v>
      </c>
      <c r="J21" s="151"/>
      <c r="K21" s="147" t="s">
        <v>469</v>
      </c>
      <c r="L21" s="151"/>
      <c r="M21" s="151"/>
      <c r="N21" s="151"/>
      <c r="O21" s="177"/>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row>
    <row r="22" spans="1:49" s="175" customFormat="1" ht="97.5" customHeight="1" x14ac:dyDescent="0.2">
      <c r="A22" s="184">
        <v>14</v>
      </c>
      <c r="B22" s="144" t="s">
        <v>464</v>
      </c>
      <c r="C22" s="158">
        <v>44170</v>
      </c>
      <c r="D22" s="147" t="s">
        <v>465</v>
      </c>
      <c r="E22" s="147" t="s">
        <v>466</v>
      </c>
      <c r="F22" s="147"/>
      <c r="G22" s="147" t="s">
        <v>467</v>
      </c>
      <c r="H22" s="147" t="s">
        <v>377</v>
      </c>
      <c r="I22" s="149" t="s">
        <v>468</v>
      </c>
      <c r="J22" s="151"/>
      <c r="K22" s="147" t="s">
        <v>469</v>
      </c>
      <c r="L22" s="151"/>
      <c r="M22" s="151"/>
      <c r="N22" s="151"/>
      <c r="O22" s="177"/>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row>
    <row r="23" spans="1:49" s="175" customFormat="1" x14ac:dyDescent="0.2">
      <c r="A23" s="184"/>
      <c r="B23" s="144"/>
      <c r="C23" s="158"/>
      <c r="D23" s="147"/>
      <c r="E23" s="147"/>
      <c r="F23" s="147"/>
      <c r="G23" s="147"/>
      <c r="H23" s="151"/>
      <c r="I23" s="149"/>
      <c r="J23" s="151"/>
      <c r="K23" s="151"/>
      <c r="L23" s="151"/>
      <c r="M23" s="151"/>
      <c r="N23" s="151"/>
      <c r="O23" s="177"/>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row>
    <row r="24" spans="1:49" s="175" customFormat="1" x14ac:dyDescent="0.2">
      <c r="A24" s="184"/>
      <c r="B24" s="144"/>
      <c r="C24" s="158"/>
      <c r="D24" s="147"/>
      <c r="E24" s="147"/>
      <c r="F24" s="147"/>
      <c r="G24" s="147"/>
      <c r="H24" s="151"/>
      <c r="I24" s="149"/>
      <c r="J24" s="151"/>
      <c r="K24" s="151"/>
      <c r="L24" s="151"/>
      <c r="M24" s="151"/>
      <c r="N24" s="151"/>
      <c r="O24" s="177"/>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row>
    <row r="25" spans="1:49" s="175" customFormat="1" x14ac:dyDescent="0.2">
      <c r="A25" s="184"/>
      <c r="B25" s="144"/>
      <c r="C25" s="158"/>
      <c r="D25" s="147"/>
      <c r="E25" s="147"/>
      <c r="F25" s="147"/>
      <c r="G25" s="147"/>
      <c r="H25" s="151"/>
      <c r="I25" s="149"/>
      <c r="J25" s="151"/>
      <c r="K25" s="151"/>
      <c r="L25" s="151"/>
      <c r="M25" s="151"/>
      <c r="N25" s="151"/>
      <c r="O25" s="177"/>
      <c r="P25" s="174"/>
      <c r="Q25" s="174"/>
      <c r="R25" s="174"/>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row>
    <row r="26" spans="1:49" s="175" customFormat="1" x14ac:dyDescent="0.2">
      <c r="A26" s="184"/>
      <c r="B26" s="144"/>
      <c r="C26" s="158"/>
      <c r="D26" s="147"/>
      <c r="E26" s="147"/>
      <c r="F26" s="147"/>
      <c r="G26" s="147"/>
      <c r="H26" s="151"/>
      <c r="I26" s="149"/>
      <c r="J26" s="151"/>
      <c r="K26" s="151"/>
      <c r="L26" s="151"/>
      <c r="M26" s="151"/>
      <c r="N26" s="151"/>
      <c r="O26" s="177"/>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174"/>
      <c r="AT26" s="174"/>
    </row>
    <row r="27" spans="1:49" s="175" customFormat="1" x14ac:dyDescent="0.2">
      <c r="A27" s="184"/>
      <c r="B27" s="144"/>
      <c r="C27" s="158"/>
      <c r="D27" s="147"/>
      <c r="E27" s="147"/>
      <c r="F27" s="147"/>
      <c r="G27" s="147"/>
      <c r="H27" s="151"/>
      <c r="I27" s="149"/>
      <c r="J27" s="151"/>
      <c r="K27" s="151"/>
      <c r="L27" s="151"/>
      <c r="M27" s="151"/>
      <c r="N27" s="151"/>
      <c r="O27" s="177"/>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4"/>
      <c r="AR27" s="174"/>
      <c r="AS27" s="174"/>
      <c r="AT27" s="174"/>
    </row>
    <row r="28" spans="1:49" s="175" customFormat="1" x14ac:dyDescent="0.2">
      <c r="A28" s="184"/>
      <c r="B28" s="144"/>
      <c r="C28" s="158"/>
      <c r="D28" s="147"/>
      <c r="E28" s="147"/>
      <c r="F28" s="147"/>
      <c r="G28" s="147"/>
      <c r="H28" s="151"/>
      <c r="I28" s="149"/>
      <c r="J28" s="151"/>
      <c r="K28" s="151"/>
      <c r="L28" s="151"/>
      <c r="M28" s="151"/>
      <c r="N28" s="151"/>
      <c r="O28" s="177"/>
      <c r="P28" s="174"/>
      <c r="Q28" s="174"/>
      <c r="R28" s="174"/>
      <c r="S28" s="174"/>
      <c r="T28" s="174"/>
      <c r="U28" s="174"/>
      <c r="V28" s="174"/>
      <c r="W28" s="174"/>
      <c r="X28" s="174"/>
      <c r="Y28" s="174"/>
      <c r="Z28" s="174"/>
      <c r="AA28" s="174"/>
      <c r="AB28" s="174"/>
      <c r="AC28" s="174"/>
      <c r="AD28" s="174"/>
      <c r="AE28" s="174"/>
      <c r="AF28" s="174"/>
      <c r="AG28" s="174"/>
      <c r="AH28" s="174"/>
      <c r="AI28" s="174"/>
      <c r="AJ28" s="174"/>
      <c r="AK28" s="174"/>
      <c r="AL28" s="174"/>
      <c r="AM28" s="174"/>
      <c r="AN28" s="174"/>
      <c r="AO28" s="174"/>
      <c r="AP28" s="174"/>
      <c r="AQ28" s="174"/>
      <c r="AR28" s="174"/>
      <c r="AS28" s="174"/>
      <c r="AT28" s="174"/>
    </row>
    <row r="29" spans="1:49" s="144" customFormat="1" x14ac:dyDescent="0.2">
      <c r="A29" s="184"/>
      <c r="C29" s="154"/>
      <c r="I29" s="149"/>
      <c r="O29" s="178"/>
      <c r="P29" s="178"/>
      <c r="Q29" s="178"/>
      <c r="R29" s="178"/>
      <c r="S29" s="178"/>
      <c r="T29" s="178"/>
      <c r="U29" s="178"/>
      <c r="V29" s="178"/>
      <c r="W29" s="178"/>
      <c r="X29" s="178"/>
      <c r="Y29" s="178"/>
      <c r="Z29" s="178"/>
      <c r="AA29" s="178"/>
      <c r="AB29" s="178"/>
      <c r="AC29" s="178"/>
      <c r="AD29" s="178"/>
      <c r="AE29" s="178"/>
      <c r="AF29" s="178"/>
      <c r="AG29" s="178"/>
      <c r="AH29" s="178"/>
      <c r="AI29" s="178"/>
      <c r="AJ29" s="178"/>
      <c r="AK29" s="178"/>
      <c r="AL29" s="178"/>
      <c r="AM29" s="178"/>
      <c r="AN29" s="178"/>
      <c r="AO29" s="178"/>
      <c r="AP29" s="178"/>
      <c r="AQ29" s="178"/>
      <c r="AR29" s="178"/>
      <c r="AS29" s="178"/>
      <c r="AT29" s="178"/>
    </row>
    <row r="30" spans="1:49" s="144" customFormat="1" x14ac:dyDescent="0.2">
      <c r="A30" s="184"/>
      <c r="C30" s="154"/>
      <c r="I30" s="149"/>
      <c r="O30" s="178"/>
      <c r="P30" s="178"/>
      <c r="Q30" s="178"/>
      <c r="R30" s="178"/>
      <c r="S30" s="178"/>
      <c r="T30" s="178"/>
      <c r="U30" s="178"/>
      <c r="V30" s="178"/>
      <c r="W30" s="178"/>
      <c r="X30" s="178"/>
      <c r="Y30" s="178"/>
      <c r="Z30" s="178"/>
      <c r="AA30" s="178"/>
      <c r="AB30" s="178"/>
      <c r="AC30" s="178"/>
      <c r="AD30" s="178"/>
      <c r="AE30" s="178"/>
      <c r="AF30" s="178"/>
      <c r="AG30" s="178"/>
      <c r="AH30" s="178"/>
      <c r="AI30" s="178"/>
      <c r="AJ30" s="178"/>
      <c r="AK30" s="178"/>
      <c r="AL30" s="178"/>
      <c r="AM30" s="178"/>
      <c r="AN30" s="178"/>
      <c r="AO30" s="178"/>
      <c r="AP30" s="178"/>
      <c r="AQ30" s="178"/>
      <c r="AR30" s="178"/>
      <c r="AS30" s="178"/>
      <c r="AT30" s="178"/>
    </row>
    <row r="31" spans="1:49" s="144" customFormat="1" x14ac:dyDescent="0.2">
      <c r="A31" s="184"/>
      <c r="C31" s="154"/>
      <c r="I31" s="149"/>
      <c r="O31" s="178"/>
      <c r="P31" s="178"/>
      <c r="Q31" s="178"/>
      <c r="R31" s="178"/>
      <c r="S31" s="178"/>
      <c r="T31" s="178"/>
      <c r="U31" s="178"/>
      <c r="V31" s="178"/>
      <c r="W31" s="178"/>
      <c r="X31" s="178"/>
      <c r="Y31" s="178"/>
      <c r="Z31" s="178"/>
      <c r="AA31" s="178"/>
      <c r="AB31" s="178"/>
      <c r="AC31" s="178"/>
      <c r="AD31" s="178"/>
      <c r="AE31" s="178"/>
      <c r="AF31" s="178"/>
      <c r="AG31" s="178"/>
      <c r="AH31" s="178"/>
      <c r="AI31" s="178"/>
      <c r="AJ31" s="178"/>
      <c r="AK31" s="178"/>
      <c r="AL31" s="178"/>
      <c r="AM31" s="178"/>
      <c r="AN31" s="178"/>
      <c r="AO31" s="178"/>
      <c r="AP31" s="178"/>
      <c r="AQ31" s="178"/>
      <c r="AR31" s="178"/>
      <c r="AS31" s="178"/>
      <c r="AT31" s="178"/>
    </row>
    <row r="32" spans="1:49" s="175" customFormat="1" x14ac:dyDescent="0.2">
      <c r="A32" s="184"/>
      <c r="B32" s="144"/>
      <c r="C32" s="158"/>
      <c r="D32" s="147"/>
      <c r="E32" s="147"/>
      <c r="F32" s="147"/>
      <c r="G32" s="147"/>
      <c r="H32" s="151"/>
      <c r="I32" s="149"/>
      <c r="J32" s="151"/>
      <c r="K32" s="151"/>
      <c r="L32" s="151"/>
      <c r="M32" s="151"/>
      <c r="N32" s="151"/>
      <c r="O32" s="177"/>
      <c r="P32" s="174"/>
      <c r="Q32" s="174"/>
      <c r="R32" s="174"/>
      <c r="S32" s="174"/>
      <c r="T32" s="174"/>
      <c r="U32" s="174"/>
      <c r="V32" s="174"/>
      <c r="W32" s="174"/>
      <c r="X32" s="174"/>
      <c r="Y32" s="174"/>
      <c r="Z32" s="174"/>
      <c r="AA32" s="174"/>
      <c r="AB32" s="174"/>
      <c r="AC32" s="174"/>
      <c r="AD32" s="174"/>
      <c r="AE32" s="174"/>
      <c r="AF32" s="174"/>
      <c r="AG32" s="174"/>
      <c r="AH32" s="174"/>
      <c r="AI32" s="174"/>
      <c r="AJ32" s="174"/>
      <c r="AK32" s="174"/>
      <c r="AL32" s="174"/>
      <c r="AM32" s="174"/>
      <c r="AN32" s="174"/>
      <c r="AO32" s="174"/>
      <c r="AP32" s="174"/>
      <c r="AQ32" s="174"/>
      <c r="AR32" s="174"/>
      <c r="AS32" s="174"/>
      <c r="AT32" s="174"/>
    </row>
    <row r="33" spans="1:49" s="144" customFormat="1" x14ac:dyDescent="0.2">
      <c r="A33" s="184"/>
      <c r="C33" s="154"/>
      <c r="I33" s="149"/>
      <c r="O33" s="178"/>
      <c r="P33" s="178"/>
      <c r="Q33" s="178"/>
      <c r="R33" s="178"/>
      <c r="S33" s="178"/>
      <c r="T33" s="178"/>
      <c r="U33" s="178"/>
      <c r="V33" s="178"/>
      <c r="W33" s="178"/>
      <c r="X33" s="178"/>
      <c r="Y33" s="178"/>
      <c r="Z33" s="178"/>
      <c r="AA33" s="178"/>
      <c r="AB33" s="178"/>
      <c r="AC33" s="178"/>
      <c r="AD33" s="178"/>
      <c r="AE33" s="178"/>
      <c r="AF33" s="178"/>
      <c r="AG33" s="178"/>
      <c r="AH33" s="178"/>
      <c r="AI33" s="178"/>
      <c r="AJ33" s="178"/>
      <c r="AK33" s="178"/>
      <c r="AL33" s="178"/>
      <c r="AM33" s="178"/>
      <c r="AN33" s="178"/>
      <c r="AO33" s="178"/>
      <c r="AP33" s="178"/>
      <c r="AQ33" s="178"/>
      <c r="AR33" s="178"/>
      <c r="AS33" s="178"/>
      <c r="AT33" s="178"/>
    </row>
    <row r="34" spans="1:49" s="144" customFormat="1" x14ac:dyDescent="0.2">
      <c r="A34" s="184"/>
      <c r="C34" s="154"/>
      <c r="I34" s="149"/>
      <c r="O34" s="178"/>
      <c r="P34" s="178"/>
      <c r="Q34" s="178"/>
      <c r="R34" s="178"/>
      <c r="S34" s="178"/>
      <c r="T34" s="178"/>
      <c r="U34" s="178"/>
      <c r="V34" s="178"/>
      <c r="W34" s="178"/>
      <c r="X34" s="178"/>
      <c r="Y34" s="178"/>
      <c r="Z34" s="178"/>
      <c r="AA34" s="178"/>
      <c r="AB34" s="178"/>
      <c r="AC34" s="178"/>
      <c r="AD34" s="178"/>
      <c r="AE34" s="178"/>
      <c r="AF34" s="178"/>
      <c r="AG34" s="178"/>
      <c r="AH34" s="178"/>
      <c r="AI34" s="178"/>
      <c r="AJ34" s="178"/>
      <c r="AK34" s="178"/>
      <c r="AL34" s="178"/>
      <c r="AM34" s="178"/>
      <c r="AN34" s="178"/>
      <c r="AO34" s="178"/>
      <c r="AP34" s="178"/>
      <c r="AQ34" s="178"/>
      <c r="AR34" s="178"/>
      <c r="AS34" s="178"/>
      <c r="AT34" s="178"/>
    </row>
    <row r="35" spans="1:49" s="179" customFormat="1" x14ac:dyDescent="0.2">
      <c r="A35" s="184"/>
      <c r="B35" s="144"/>
      <c r="C35" s="154"/>
      <c r="D35" s="144"/>
      <c r="E35" s="138"/>
      <c r="F35" s="138"/>
      <c r="G35" s="138"/>
      <c r="I35" s="149"/>
      <c r="O35" s="180"/>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4"/>
      <c r="AM35" s="174"/>
      <c r="AN35" s="174"/>
      <c r="AO35" s="174"/>
      <c r="AP35" s="180"/>
      <c r="AQ35" s="180"/>
      <c r="AR35" s="180"/>
      <c r="AS35" s="180"/>
      <c r="AT35" s="180"/>
      <c r="AU35" s="180"/>
      <c r="AV35" s="180"/>
      <c r="AW35" s="180"/>
    </row>
    <row r="36" spans="1:49" s="179" customFormat="1" x14ac:dyDescent="0.2">
      <c r="A36" s="184"/>
      <c r="B36" s="144"/>
      <c r="C36" s="154"/>
      <c r="D36" s="144"/>
      <c r="E36" s="138"/>
      <c r="F36" s="138"/>
      <c r="G36" s="138"/>
      <c r="I36" s="149"/>
      <c r="O36" s="180"/>
      <c r="P36" s="174"/>
      <c r="Q36" s="174"/>
      <c r="R36" s="174"/>
      <c r="S36" s="174"/>
      <c r="T36" s="174"/>
      <c r="U36" s="174"/>
      <c r="V36" s="174"/>
      <c r="W36" s="174"/>
      <c r="X36" s="174"/>
      <c r="Y36" s="174"/>
      <c r="Z36" s="174"/>
      <c r="AA36" s="174"/>
      <c r="AB36" s="174"/>
      <c r="AC36" s="174"/>
      <c r="AD36" s="174"/>
      <c r="AE36" s="174"/>
      <c r="AF36" s="174"/>
      <c r="AG36" s="174"/>
      <c r="AH36" s="174"/>
      <c r="AI36" s="174"/>
      <c r="AJ36" s="174"/>
      <c r="AK36" s="174"/>
      <c r="AL36" s="174"/>
      <c r="AM36" s="174"/>
      <c r="AN36" s="174"/>
      <c r="AO36" s="174"/>
      <c r="AP36" s="180"/>
      <c r="AQ36" s="180"/>
      <c r="AR36" s="180"/>
      <c r="AS36" s="180"/>
      <c r="AT36" s="180"/>
      <c r="AU36" s="180"/>
      <c r="AV36" s="180"/>
      <c r="AW36" s="180"/>
    </row>
    <row r="37" spans="1:49" s="179" customFormat="1" x14ac:dyDescent="0.2">
      <c r="A37" s="184"/>
      <c r="B37" s="144"/>
      <c r="C37" s="154"/>
      <c r="D37" s="144"/>
      <c r="E37" s="138"/>
      <c r="F37" s="138"/>
      <c r="G37" s="138"/>
      <c r="I37" s="149"/>
      <c r="O37" s="180"/>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80"/>
      <c r="AQ37" s="180"/>
      <c r="AR37" s="180"/>
      <c r="AS37" s="180"/>
      <c r="AT37" s="180"/>
      <c r="AU37" s="180"/>
      <c r="AV37" s="180"/>
      <c r="AW37" s="180"/>
    </row>
    <row r="38" spans="1:49" s="179" customFormat="1" x14ac:dyDescent="0.2">
      <c r="A38" s="184"/>
      <c r="B38" s="144"/>
      <c r="C38" s="154"/>
      <c r="D38" s="144"/>
      <c r="E38" s="138"/>
      <c r="F38" s="138"/>
      <c r="G38" s="138"/>
      <c r="I38" s="149"/>
      <c r="O38" s="180"/>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80"/>
      <c r="AQ38" s="180"/>
      <c r="AR38" s="180"/>
      <c r="AS38" s="180"/>
      <c r="AT38" s="180"/>
      <c r="AU38" s="180"/>
      <c r="AV38" s="180"/>
      <c r="AW38" s="180"/>
    </row>
    <row r="39" spans="1:49" s="179" customFormat="1" x14ac:dyDescent="0.2">
      <c r="A39" s="184"/>
      <c r="B39" s="144"/>
      <c r="C39" s="154"/>
      <c r="D39" s="144"/>
      <c r="E39" s="138"/>
      <c r="F39" s="138"/>
      <c r="G39" s="138"/>
      <c r="I39" s="149"/>
      <c r="O39" s="180"/>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80"/>
      <c r="AQ39" s="180"/>
      <c r="AR39" s="180"/>
      <c r="AS39" s="180"/>
      <c r="AT39" s="180"/>
      <c r="AU39" s="180"/>
      <c r="AV39" s="180"/>
      <c r="AW39" s="180"/>
    </row>
    <row r="40" spans="1:49" s="179" customFormat="1" x14ac:dyDescent="0.2">
      <c r="A40" s="184"/>
      <c r="B40" s="144"/>
      <c r="C40" s="154"/>
      <c r="D40" s="144"/>
      <c r="E40" s="138"/>
      <c r="F40" s="138"/>
      <c r="G40" s="138"/>
      <c r="I40" s="149"/>
      <c r="O40" s="180"/>
      <c r="P40" s="174"/>
      <c r="Q40" s="174"/>
      <c r="R40" s="174"/>
      <c r="S40" s="174"/>
      <c r="T40" s="174"/>
      <c r="U40" s="174"/>
      <c r="V40" s="174"/>
      <c r="W40" s="174"/>
      <c r="X40" s="174"/>
      <c r="Y40" s="174"/>
      <c r="Z40" s="174"/>
      <c r="AA40" s="174"/>
      <c r="AB40" s="174"/>
      <c r="AC40" s="174"/>
      <c r="AD40" s="174"/>
      <c r="AE40" s="174"/>
      <c r="AF40" s="174"/>
      <c r="AG40" s="174"/>
      <c r="AH40" s="174"/>
      <c r="AI40" s="174"/>
      <c r="AJ40" s="174"/>
      <c r="AK40" s="174"/>
      <c r="AL40" s="174"/>
      <c r="AM40" s="174"/>
      <c r="AN40" s="174"/>
      <c r="AO40" s="174"/>
      <c r="AP40" s="180"/>
      <c r="AQ40" s="180"/>
      <c r="AR40" s="180"/>
      <c r="AS40" s="180"/>
      <c r="AT40" s="180"/>
      <c r="AU40" s="180"/>
      <c r="AV40" s="180"/>
      <c r="AW40" s="180"/>
    </row>
    <row r="41" spans="1:49" s="176" customFormat="1" x14ac:dyDescent="0.2">
      <c r="A41" s="184"/>
      <c r="B41" s="144"/>
      <c r="C41" s="154"/>
      <c r="D41" s="144"/>
      <c r="E41" s="178"/>
      <c r="F41" s="144"/>
      <c r="G41" s="178"/>
      <c r="I41" s="149"/>
      <c r="P41" s="174"/>
      <c r="Q41" s="174"/>
      <c r="R41" s="174"/>
      <c r="S41" s="174"/>
      <c r="T41" s="174"/>
      <c r="U41" s="174"/>
      <c r="V41" s="174"/>
      <c r="W41" s="174"/>
      <c r="X41" s="174"/>
      <c r="Y41" s="174"/>
      <c r="Z41" s="174"/>
      <c r="AA41" s="174"/>
      <c r="AB41" s="174"/>
      <c r="AC41" s="174"/>
      <c r="AD41" s="174"/>
      <c r="AE41" s="174"/>
      <c r="AF41" s="174"/>
      <c r="AG41" s="174"/>
      <c r="AH41" s="174"/>
      <c r="AI41" s="174"/>
      <c r="AJ41" s="174"/>
      <c r="AK41" s="174"/>
      <c r="AL41" s="174"/>
      <c r="AM41" s="174"/>
      <c r="AN41" s="174"/>
      <c r="AO41" s="174"/>
    </row>
    <row r="42" spans="1:49" s="176" customFormat="1" x14ac:dyDescent="0.2">
      <c r="A42" s="184"/>
      <c r="B42" s="144"/>
      <c r="C42" s="154"/>
      <c r="D42" s="144"/>
      <c r="E42" s="178"/>
      <c r="F42" s="144"/>
      <c r="G42" s="178"/>
      <c r="I42" s="149"/>
      <c r="P42" s="174"/>
      <c r="Q42" s="174"/>
      <c r="R42" s="174"/>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row>
    <row r="43" spans="1:49" s="176" customFormat="1" x14ac:dyDescent="0.2">
      <c r="A43" s="184"/>
      <c r="B43" s="144"/>
      <c r="C43" s="154"/>
      <c r="D43" s="144"/>
      <c r="E43" s="178"/>
      <c r="F43" s="144"/>
      <c r="G43" s="178"/>
      <c r="I43" s="150"/>
      <c r="P43" s="174"/>
      <c r="Q43" s="174"/>
      <c r="R43" s="174"/>
      <c r="S43" s="174"/>
      <c r="T43" s="174"/>
      <c r="U43" s="174"/>
      <c r="V43" s="174"/>
      <c r="W43" s="174"/>
      <c r="X43" s="174"/>
      <c r="Y43" s="174"/>
      <c r="Z43" s="174"/>
      <c r="AA43" s="174"/>
      <c r="AB43" s="174"/>
      <c r="AC43" s="174"/>
      <c r="AD43" s="174"/>
      <c r="AE43" s="174"/>
      <c r="AF43" s="174"/>
      <c r="AG43" s="174"/>
      <c r="AH43" s="174"/>
      <c r="AI43" s="174"/>
      <c r="AJ43" s="174"/>
      <c r="AK43" s="174"/>
      <c r="AL43" s="174"/>
      <c r="AM43" s="174"/>
      <c r="AN43" s="174"/>
      <c r="AO43" s="174"/>
    </row>
    <row r="44" spans="1:49" s="176" customFormat="1" x14ac:dyDescent="0.2">
      <c r="A44" s="184"/>
      <c r="B44" s="144"/>
      <c r="C44" s="154"/>
      <c r="D44" s="144"/>
      <c r="E44" s="178"/>
      <c r="F44" s="144"/>
      <c r="G44" s="178"/>
      <c r="I44" s="149"/>
      <c r="P44" s="174"/>
      <c r="Q44" s="174"/>
      <c r="R44" s="174"/>
      <c r="S44" s="174"/>
      <c r="T44" s="174"/>
      <c r="U44" s="174"/>
      <c r="V44" s="174"/>
      <c r="W44" s="174"/>
      <c r="X44" s="174"/>
      <c r="Y44" s="174"/>
      <c r="Z44" s="174"/>
      <c r="AA44" s="174"/>
      <c r="AB44" s="174"/>
      <c r="AC44" s="174"/>
      <c r="AD44" s="174"/>
      <c r="AE44" s="174"/>
      <c r="AF44" s="174"/>
      <c r="AG44" s="174"/>
      <c r="AH44" s="174"/>
      <c r="AI44" s="174"/>
      <c r="AJ44" s="174"/>
      <c r="AK44" s="174"/>
      <c r="AL44" s="174"/>
      <c r="AM44" s="174"/>
      <c r="AN44" s="174"/>
      <c r="AO44" s="174"/>
    </row>
    <row r="45" spans="1:49" s="176" customFormat="1" x14ac:dyDescent="0.2">
      <c r="A45" s="184"/>
      <c r="B45" s="144"/>
      <c r="C45" s="154"/>
      <c r="D45" s="144"/>
      <c r="E45" s="178"/>
      <c r="F45" s="144"/>
      <c r="G45" s="178"/>
      <c r="I45" s="149"/>
      <c r="P45" s="174"/>
      <c r="Q45" s="174"/>
      <c r="R45" s="174"/>
      <c r="S45" s="174"/>
      <c r="T45" s="174"/>
      <c r="U45" s="174"/>
      <c r="V45" s="174"/>
      <c r="W45" s="174"/>
      <c r="X45" s="174"/>
      <c r="Y45" s="174"/>
      <c r="Z45" s="174"/>
      <c r="AA45" s="174"/>
      <c r="AB45" s="174"/>
      <c r="AC45" s="174"/>
      <c r="AD45" s="174"/>
      <c r="AE45" s="174"/>
      <c r="AF45" s="174"/>
      <c r="AG45" s="174"/>
      <c r="AH45" s="174"/>
      <c r="AI45" s="174"/>
      <c r="AJ45" s="174"/>
      <c r="AK45" s="174"/>
      <c r="AL45" s="174"/>
      <c r="AM45" s="174"/>
      <c r="AN45" s="174"/>
      <c r="AO45" s="174"/>
    </row>
    <row r="46" spans="1:49" s="176" customFormat="1" x14ac:dyDescent="0.2">
      <c r="A46" s="184"/>
      <c r="B46" s="144"/>
      <c r="C46" s="154"/>
      <c r="D46" s="144"/>
      <c r="E46" s="178"/>
      <c r="F46" s="144"/>
      <c r="G46" s="178"/>
      <c r="I46" s="149"/>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row>
    <row r="47" spans="1:49" s="176" customFormat="1" x14ac:dyDescent="0.2">
      <c r="A47" s="184"/>
      <c r="B47" s="144"/>
      <c r="C47" s="154"/>
      <c r="D47" s="144"/>
      <c r="E47" s="178"/>
      <c r="F47" s="144"/>
      <c r="G47" s="178"/>
      <c r="I47" s="149"/>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row>
    <row r="48" spans="1:49" s="179" customFormat="1" x14ac:dyDescent="0.2">
      <c r="A48" s="184"/>
      <c r="B48" s="144"/>
      <c r="C48" s="154"/>
      <c r="D48" s="144"/>
      <c r="E48" s="138"/>
      <c r="F48" s="138"/>
      <c r="G48" s="138"/>
      <c r="I48" s="149"/>
      <c r="O48" s="180"/>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80"/>
      <c r="AQ48" s="180"/>
      <c r="AR48" s="180"/>
      <c r="AS48" s="180"/>
      <c r="AT48" s="180"/>
      <c r="AU48" s="180"/>
      <c r="AV48" s="180"/>
      <c r="AW48" s="180"/>
    </row>
    <row r="49" spans="9:9" s="174" customFormat="1" x14ac:dyDescent="0.2">
      <c r="I49" s="181"/>
    </row>
    <row r="50" spans="9:9" s="174" customFormat="1" x14ac:dyDescent="0.2">
      <c r="I50" s="181"/>
    </row>
    <row r="51" spans="9:9" s="174" customFormat="1" x14ac:dyDescent="0.2">
      <c r="I51" s="181"/>
    </row>
    <row r="52" spans="9:9" s="174" customFormat="1" x14ac:dyDescent="0.2">
      <c r="I52" s="181"/>
    </row>
    <row r="53" spans="9:9" s="174" customFormat="1" x14ac:dyDescent="0.2">
      <c r="I53" s="181"/>
    </row>
    <row r="54" spans="9:9" s="174" customFormat="1" x14ac:dyDescent="0.2">
      <c r="I54" s="181"/>
    </row>
    <row r="55" spans="9:9" s="163" customFormat="1" x14ac:dyDescent="0.2">
      <c r="I55" s="165"/>
    </row>
    <row r="56" spans="9:9" s="163" customFormat="1" x14ac:dyDescent="0.2">
      <c r="I56" s="165"/>
    </row>
    <row r="57" spans="9:9" s="163" customFormat="1" x14ac:dyDescent="0.2">
      <c r="I57" s="165"/>
    </row>
    <row r="58" spans="9:9" s="163" customFormat="1" x14ac:dyDescent="0.2">
      <c r="I58" s="165"/>
    </row>
    <row r="59" spans="9:9" s="163" customFormat="1" x14ac:dyDescent="0.2">
      <c r="I59" s="165"/>
    </row>
    <row r="60" spans="9:9" s="163" customFormat="1" x14ac:dyDescent="0.2">
      <c r="I60" s="165"/>
    </row>
    <row r="61" spans="9:9" s="163" customFormat="1" x14ac:dyDescent="0.2">
      <c r="I61" s="165"/>
    </row>
    <row r="62" spans="9:9" s="163" customFormat="1" x14ac:dyDescent="0.2">
      <c r="I62" s="165"/>
    </row>
    <row r="63" spans="9:9" s="163" customFormat="1" x14ac:dyDescent="0.2">
      <c r="I63" s="165"/>
    </row>
    <row r="64" spans="9:9" s="163" customFormat="1" x14ac:dyDescent="0.2">
      <c r="I64" s="165"/>
    </row>
    <row r="65" spans="9:9" s="163" customFormat="1" x14ac:dyDescent="0.2">
      <c r="I65" s="165"/>
    </row>
    <row r="66" spans="9:9" s="163" customFormat="1" x14ac:dyDescent="0.2">
      <c r="I66" s="165"/>
    </row>
    <row r="67" spans="9:9" s="163" customFormat="1" x14ac:dyDescent="0.2">
      <c r="I67" s="165"/>
    </row>
    <row r="68" spans="9:9" s="163" customFormat="1" x14ac:dyDescent="0.2">
      <c r="I68" s="165"/>
    </row>
    <row r="69" spans="9:9" s="163" customFormat="1" x14ac:dyDescent="0.2">
      <c r="I69" s="165"/>
    </row>
    <row r="70" spans="9:9" s="163" customFormat="1" x14ac:dyDescent="0.2">
      <c r="I70" s="165"/>
    </row>
    <row r="71" spans="9:9" s="163" customFormat="1" x14ac:dyDescent="0.2">
      <c r="I71" s="165"/>
    </row>
    <row r="72" spans="9:9" s="163" customFormat="1" x14ac:dyDescent="0.2">
      <c r="I72" s="165"/>
    </row>
    <row r="73" spans="9:9" s="163" customFormat="1" x14ac:dyDescent="0.2">
      <c r="I73" s="165"/>
    </row>
    <row r="74" spans="9:9" s="163" customFormat="1" x14ac:dyDescent="0.2">
      <c r="I74" s="165"/>
    </row>
    <row r="75" spans="9:9" s="163" customFormat="1" x14ac:dyDescent="0.2">
      <c r="I75" s="165"/>
    </row>
    <row r="76" spans="9:9" s="163" customFormat="1" x14ac:dyDescent="0.2">
      <c r="I76" s="165"/>
    </row>
    <row r="77" spans="9:9" s="163" customFormat="1" x14ac:dyDescent="0.2">
      <c r="I77" s="165"/>
    </row>
    <row r="78" spans="9:9" s="163" customFormat="1" x14ac:dyDescent="0.2">
      <c r="I78" s="165"/>
    </row>
    <row r="79" spans="9:9" s="163" customFormat="1" x14ac:dyDescent="0.2">
      <c r="I79" s="165"/>
    </row>
    <row r="80" spans="9:9" s="163" customFormat="1" x14ac:dyDescent="0.2">
      <c r="I80" s="165"/>
    </row>
    <row r="81" spans="9:9" s="163" customFormat="1" x14ac:dyDescent="0.2">
      <c r="I81" s="165"/>
    </row>
    <row r="82" spans="9:9" s="163" customFormat="1" x14ac:dyDescent="0.2">
      <c r="I82" s="165"/>
    </row>
    <row r="83" spans="9:9" s="163" customFormat="1" x14ac:dyDescent="0.2">
      <c r="I83" s="165"/>
    </row>
    <row r="84" spans="9:9" s="163" customFormat="1" x14ac:dyDescent="0.2">
      <c r="I84" s="165"/>
    </row>
    <row r="85" spans="9:9" s="163" customFormat="1" x14ac:dyDescent="0.2">
      <c r="I85" s="165"/>
    </row>
    <row r="86" spans="9:9" s="163" customFormat="1" x14ac:dyDescent="0.2">
      <c r="I86" s="165"/>
    </row>
    <row r="87" spans="9:9" s="163" customFormat="1" x14ac:dyDescent="0.2">
      <c r="I87" s="165"/>
    </row>
    <row r="88" spans="9:9" s="163" customFormat="1" x14ac:dyDescent="0.2">
      <c r="I88" s="165"/>
    </row>
    <row r="89" spans="9:9" s="163" customFormat="1" x14ac:dyDescent="0.2">
      <c r="I89" s="165"/>
    </row>
    <row r="90" spans="9:9" s="163" customFormat="1" x14ac:dyDescent="0.2">
      <c r="I90" s="165"/>
    </row>
    <row r="91" spans="9:9" s="163" customFormat="1" x14ac:dyDescent="0.2">
      <c r="I91" s="165"/>
    </row>
    <row r="92" spans="9:9" s="163" customFormat="1" x14ac:dyDescent="0.2">
      <c r="I92" s="165"/>
    </row>
    <row r="93" spans="9:9" s="163" customFormat="1" x14ac:dyDescent="0.2">
      <c r="I93" s="165"/>
    </row>
    <row r="94" spans="9:9" s="163" customFormat="1" x14ac:dyDescent="0.2">
      <c r="I94" s="165"/>
    </row>
    <row r="95" spans="9:9" s="163" customFormat="1" x14ac:dyDescent="0.2">
      <c r="I95" s="165"/>
    </row>
    <row r="96" spans="9:9" s="163" customFormat="1" x14ac:dyDescent="0.2">
      <c r="I96" s="165"/>
    </row>
    <row r="97" spans="9:9" s="163" customFormat="1" x14ac:dyDescent="0.2">
      <c r="I97" s="165"/>
    </row>
    <row r="98" spans="9:9" s="163" customFormat="1" x14ac:dyDescent="0.2">
      <c r="I98" s="165"/>
    </row>
    <row r="99" spans="9:9" s="163" customFormat="1" x14ac:dyDescent="0.2">
      <c r="I99" s="165"/>
    </row>
    <row r="100" spans="9:9" s="163" customFormat="1" x14ac:dyDescent="0.2">
      <c r="I100" s="165"/>
    </row>
    <row r="101" spans="9:9" s="163" customFormat="1" x14ac:dyDescent="0.2">
      <c r="I101" s="165"/>
    </row>
    <row r="102" spans="9:9" s="163" customFormat="1" x14ac:dyDescent="0.2">
      <c r="I102" s="165"/>
    </row>
    <row r="103" spans="9:9" s="163" customFormat="1" x14ac:dyDescent="0.2">
      <c r="I103" s="165"/>
    </row>
    <row r="104" spans="9:9" s="163" customFormat="1" x14ac:dyDescent="0.2">
      <c r="I104" s="165"/>
    </row>
    <row r="105" spans="9:9" s="163" customFormat="1" x14ac:dyDescent="0.2">
      <c r="I105" s="165"/>
    </row>
    <row r="106" spans="9:9" s="163" customFormat="1" x14ac:dyDescent="0.2">
      <c r="I106" s="165"/>
    </row>
    <row r="107" spans="9:9" s="163" customFormat="1" x14ac:dyDescent="0.2">
      <c r="I107" s="165"/>
    </row>
    <row r="108" spans="9:9" s="163" customFormat="1" x14ac:dyDescent="0.2">
      <c r="I108" s="165"/>
    </row>
    <row r="109" spans="9:9" s="163" customFormat="1" x14ac:dyDescent="0.2">
      <c r="I109" s="165"/>
    </row>
    <row r="110" spans="9:9" s="163" customFormat="1" x14ac:dyDescent="0.2">
      <c r="I110" s="165"/>
    </row>
    <row r="111" spans="9:9" s="163" customFormat="1" x14ac:dyDescent="0.2">
      <c r="I111" s="165"/>
    </row>
    <row r="112" spans="9:9" s="163" customFormat="1" x14ac:dyDescent="0.2">
      <c r="I112" s="165"/>
    </row>
    <row r="113" spans="9:9" s="163" customFormat="1" x14ac:dyDescent="0.2">
      <c r="I113" s="165"/>
    </row>
    <row r="114" spans="9:9" s="163" customFormat="1" x14ac:dyDescent="0.2">
      <c r="I114" s="165"/>
    </row>
    <row r="115" spans="9:9" s="163" customFormat="1" x14ac:dyDescent="0.2">
      <c r="I115" s="165"/>
    </row>
    <row r="116" spans="9:9" s="163" customFormat="1" x14ac:dyDescent="0.2">
      <c r="I116" s="165"/>
    </row>
    <row r="117" spans="9:9" s="163" customFormat="1" x14ac:dyDescent="0.2">
      <c r="I117" s="165"/>
    </row>
    <row r="118" spans="9:9" s="163" customFormat="1" x14ac:dyDescent="0.2">
      <c r="I118" s="165"/>
    </row>
    <row r="119" spans="9:9" s="163" customFormat="1" x14ac:dyDescent="0.2">
      <c r="I119" s="165"/>
    </row>
    <row r="120" spans="9:9" s="163" customFormat="1" x14ac:dyDescent="0.2">
      <c r="I120" s="165"/>
    </row>
    <row r="121" spans="9:9" s="163" customFormat="1" x14ac:dyDescent="0.2">
      <c r="I121" s="165"/>
    </row>
    <row r="122" spans="9:9" s="163" customFormat="1" x14ac:dyDescent="0.2">
      <c r="I122" s="165"/>
    </row>
    <row r="123" spans="9:9" s="163" customFormat="1" x14ac:dyDescent="0.2">
      <c r="I123" s="165"/>
    </row>
    <row r="124" spans="9:9" s="163" customFormat="1" x14ac:dyDescent="0.2">
      <c r="I124" s="165"/>
    </row>
    <row r="125" spans="9:9" s="163" customFormat="1" x14ac:dyDescent="0.2">
      <c r="I125" s="165"/>
    </row>
    <row r="126" spans="9:9" s="163" customFormat="1" x14ac:dyDescent="0.2">
      <c r="I126" s="165"/>
    </row>
    <row r="127" spans="9:9" s="163" customFormat="1" x14ac:dyDescent="0.2">
      <c r="I127" s="165"/>
    </row>
    <row r="128" spans="9:9" s="163" customFormat="1" x14ac:dyDescent="0.2">
      <c r="I128" s="165"/>
    </row>
    <row r="129" spans="9:9" s="163" customFormat="1" x14ac:dyDescent="0.2">
      <c r="I129" s="165"/>
    </row>
    <row r="130" spans="9:9" s="163" customFormat="1" x14ac:dyDescent="0.2">
      <c r="I130" s="165"/>
    </row>
    <row r="131" spans="9:9" s="163" customFormat="1" x14ac:dyDescent="0.2">
      <c r="I131" s="165"/>
    </row>
    <row r="132" spans="9:9" s="163" customFormat="1" x14ac:dyDescent="0.2">
      <c r="I132" s="165"/>
    </row>
    <row r="133" spans="9:9" s="163" customFormat="1" x14ac:dyDescent="0.2">
      <c r="I133" s="165"/>
    </row>
    <row r="134" spans="9:9" s="163" customFormat="1" x14ac:dyDescent="0.2">
      <c r="I134" s="165"/>
    </row>
    <row r="135" spans="9:9" s="163" customFormat="1" x14ac:dyDescent="0.2">
      <c r="I135" s="165"/>
    </row>
    <row r="136" spans="9:9" s="163" customFormat="1" x14ac:dyDescent="0.2">
      <c r="I136" s="165"/>
    </row>
    <row r="137" spans="9:9" s="163" customFormat="1" x14ac:dyDescent="0.2">
      <c r="I137" s="165"/>
    </row>
    <row r="138" spans="9:9" s="163" customFormat="1" x14ac:dyDescent="0.2">
      <c r="I138" s="165"/>
    </row>
    <row r="139" spans="9:9" s="163" customFormat="1" x14ac:dyDescent="0.2">
      <c r="I139" s="165"/>
    </row>
    <row r="140" spans="9:9" s="163" customFormat="1" x14ac:dyDescent="0.2">
      <c r="I140" s="165"/>
    </row>
    <row r="141" spans="9:9" s="163" customFormat="1" x14ac:dyDescent="0.2">
      <c r="I141" s="165"/>
    </row>
    <row r="142" spans="9:9" s="163" customFormat="1" x14ac:dyDescent="0.2">
      <c r="I142" s="165"/>
    </row>
    <row r="143" spans="9:9" s="163" customFormat="1" x14ac:dyDescent="0.2">
      <c r="I143" s="165"/>
    </row>
    <row r="144" spans="9:9" s="163" customFormat="1" x14ac:dyDescent="0.2">
      <c r="I144" s="165"/>
    </row>
    <row r="145" spans="9:9" s="163" customFormat="1" x14ac:dyDescent="0.2">
      <c r="I145" s="165"/>
    </row>
    <row r="146" spans="9:9" s="163" customFormat="1" x14ac:dyDescent="0.2">
      <c r="I146" s="165"/>
    </row>
    <row r="147" spans="9:9" s="163" customFormat="1" x14ac:dyDescent="0.2">
      <c r="I147" s="165"/>
    </row>
    <row r="148" spans="9:9" s="163" customFormat="1" x14ac:dyDescent="0.2">
      <c r="I148" s="165"/>
    </row>
    <row r="149" spans="9:9" s="163" customFormat="1" x14ac:dyDescent="0.2">
      <c r="I149" s="165"/>
    </row>
    <row r="150" spans="9:9" s="163" customFormat="1" x14ac:dyDescent="0.2">
      <c r="I150" s="165"/>
    </row>
    <row r="151" spans="9:9" s="163" customFormat="1" x14ac:dyDescent="0.2">
      <c r="I151" s="165"/>
    </row>
    <row r="152" spans="9:9" s="163" customFormat="1" x14ac:dyDescent="0.2">
      <c r="I152" s="165"/>
    </row>
    <row r="153" spans="9:9" s="163" customFormat="1" x14ac:dyDescent="0.2">
      <c r="I153" s="165"/>
    </row>
    <row r="154" spans="9:9" s="163" customFormat="1" x14ac:dyDescent="0.2">
      <c r="I154" s="165"/>
    </row>
    <row r="155" spans="9:9" s="163" customFormat="1" x14ac:dyDescent="0.2">
      <c r="I155" s="165"/>
    </row>
    <row r="156" spans="9:9" s="163" customFormat="1" x14ac:dyDescent="0.2">
      <c r="I156" s="165"/>
    </row>
    <row r="157" spans="9:9" s="163" customFormat="1" x14ac:dyDescent="0.2">
      <c r="I157" s="165"/>
    </row>
    <row r="158" spans="9:9" s="163" customFormat="1" x14ac:dyDescent="0.2">
      <c r="I158" s="165"/>
    </row>
    <row r="159" spans="9:9" s="163" customFormat="1" x14ac:dyDescent="0.2">
      <c r="I159" s="165"/>
    </row>
    <row r="160" spans="9:9" s="163" customFormat="1" x14ac:dyDescent="0.2">
      <c r="I160" s="165"/>
    </row>
    <row r="161" spans="9:9" s="163" customFormat="1" x14ac:dyDescent="0.2">
      <c r="I161" s="165"/>
    </row>
    <row r="162" spans="9:9" s="163" customFormat="1" x14ac:dyDescent="0.2">
      <c r="I162" s="165"/>
    </row>
    <row r="163" spans="9:9" s="163" customFormat="1" x14ac:dyDescent="0.2">
      <c r="I163" s="165"/>
    </row>
    <row r="164" spans="9:9" s="163" customFormat="1" x14ac:dyDescent="0.2">
      <c r="I164" s="165"/>
    </row>
    <row r="165" spans="9:9" s="163" customFormat="1" x14ac:dyDescent="0.2">
      <c r="I165" s="165"/>
    </row>
    <row r="166" spans="9:9" s="163" customFormat="1" x14ac:dyDescent="0.2">
      <c r="I166" s="165"/>
    </row>
    <row r="167" spans="9:9" s="163" customFormat="1" x14ac:dyDescent="0.2">
      <c r="I167" s="165"/>
    </row>
    <row r="168" spans="9:9" s="163" customFormat="1" x14ac:dyDescent="0.2">
      <c r="I168" s="165"/>
    </row>
    <row r="169" spans="9:9" s="163" customFormat="1" x14ac:dyDescent="0.2">
      <c r="I169" s="165"/>
    </row>
    <row r="170" spans="9:9" s="163" customFormat="1" x14ac:dyDescent="0.2">
      <c r="I170" s="165"/>
    </row>
    <row r="171" spans="9:9" s="163" customFormat="1" x14ac:dyDescent="0.2">
      <c r="I171" s="165"/>
    </row>
    <row r="172" spans="9:9" s="163" customFormat="1" x14ac:dyDescent="0.2">
      <c r="I172" s="165"/>
    </row>
    <row r="173" spans="9:9" s="163" customFormat="1" x14ac:dyDescent="0.2">
      <c r="I173" s="165"/>
    </row>
    <row r="174" spans="9:9" s="163" customFormat="1" x14ac:dyDescent="0.2">
      <c r="I174" s="165"/>
    </row>
    <row r="175" spans="9:9" s="163" customFormat="1" x14ac:dyDescent="0.2">
      <c r="I175" s="165"/>
    </row>
    <row r="176" spans="9:9" s="163" customFormat="1" x14ac:dyDescent="0.2">
      <c r="I176" s="165"/>
    </row>
    <row r="177" spans="9:9" s="163" customFormat="1" x14ac:dyDescent="0.2">
      <c r="I177" s="165"/>
    </row>
    <row r="178" spans="9:9" s="163" customFormat="1" x14ac:dyDescent="0.2">
      <c r="I178" s="165"/>
    </row>
    <row r="179" spans="9:9" s="163" customFormat="1" x14ac:dyDescent="0.2">
      <c r="I179" s="165"/>
    </row>
    <row r="180" spans="9:9" s="163" customFormat="1" x14ac:dyDescent="0.2">
      <c r="I180" s="165"/>
    </row>
    <row r="181" spans="9:9" s="163" customFormat="1" x14ac:dyDescent="0.2">
      <c r="I181" s="165"/>
    </row>
    <row r="182" spans="9:9" s="163" customFormat="1" x14ac:dyDescent="0.2">
      <c r="I182" s="165"/>
    </row>
    <row r="183" spans="9:9" s="163" customFormat="1" x14ac:dyDescent="0.2">
      <c r="I183" s="165"/>
    </row>
    <row r="184" spans="9:9" s="163" customFormat="1" x14ac:dyDescent="0.2">
      <c r="I184" s="165"/>
    </row>
    <row r="185" spans="9:9" s="163" customFormat="1" x14ac:dyDescent="0.2">
      <c r="I185" s="165"/>
    </row>
    <row r="186" spans="9:9" s="163" customFormat="1" x14ac:dyDescent="0.2">
      <c r="I186" s="165"/>
    </row>
    <row r="187" spans="9:9" s="163" customFormat="1" x14ac:dyDescent="0.2">
      <c r="I187" s="165"/>
    </row>
    <row r="188" spans="9:9" s="163" customFormat="1" x14ac:dyDescent="0.2">
      <c r="I188" s="165"/>
    </row>
    <row r="189" spans="9:9" s="163" customFormat="1" x14ac:dyDescent="0.2">
      <c r="I189" s="165"/>
    </row>
    <row r="190" spans="9:9" s="163" customFormat="1" x14ac:dyDescent="0.2">
      <c r="I190" s="165"/>
    </row>
    <row r="191" spans="9:9" s="163" customFormat="1" x14ac:dyDescent="0.2">
      <c r="I191" s="165"/>
    </row>
    <row r="192" spans="9:9" s="163" customFormat="1" x14ac:dyDescent="0.2">
      <c r="I192" s="165"/>
    </row>
    <row r="193" spans="9:9" s="163" customFormat="1" x14ac:dyDescent="0.2">
      <c r="I193" s="165"/>
    </row>
    <row r="194" spans="9:9" s="163" customFormat="1" x14ac:dyDescent="0.2">
      <c r="I194" s="165"/>
    </row>
    <row r="195" spans="9:9" s="163" customFormat="1" x14ac:dyDescent="0.2">
      <c r="I195" s="165"/>
    </row>
    <row r="196" spans="9:9" s="163" customFormat="1" x14ac:dyDescent="0.2">
      <c r="I196" s="165"/>
    </row>
    <row r="197" spans="9:9" s="163" customFormat="1" x14ac:dyDescent="0.2">
      <c r="I197" s="165"/>
    </row>
    <row r="198" spans="9:9" s="163" customFormat="1" x14ac:dyDescent="0.2">
      <c r="I198" s="165"/>
    </row>
    <row r="199" spans="9:9" s="163" customFormat="1" x14ac:dyDescent="0.2">
      <c r="I199" s="165"/>
    </row>
    <row r="200" spans="9:9" s="163" customFormat="1" x14ac:dyDescent="0.2">
      <c r="I200" s="165"/>
    </row>
    <row r="201" spans="9:9" s="163" customFormat="1" x14ac:dyDescent="0.2">
      <c r="I201" s="165"/>
    </row>
    <row r="202" spans="9:9" s="163" customFormat="1" x14ac:dyDescent="0.2">
      <c r="I202" s="165"/>
    </row>
    <row r="203" spans="9:9" s="163" customFormat="1" x14ac:dyDescent="0.2">
      <c r="I203" s="165"/>
    </row>
    <row r="204" spans="9:9" s="163" customFormat="1" x14ac:dyDescent="0.2">
      <c r="I204" s="165"/>
    </row>
    <row r="205" spans="9:9" s="163" customFormat="1" x14ac:dyDescent="0.2">
      <c r="I205" s="165"/>
    </row>
    <row r="206" spans="9:9" s="163" customFormat="1" x14ac:dyDescent="0.2">
      <c r="I206" s="165"/>
    </row>
    <row r="207" spans="9:9" s="163" customFormat="1" x14ac:dyDescent="0.2">
      <c r="I207" s="165"/>
    </row>
    <row r="208" spans="9:9" s="163" customFormat="1" x14ac:dyDescent="0.2">
      <c r="I208" s="165"/>
    </row>
    <row r="209" spans="9:9" s="163" customFormat="1" x14ac:dyDescent="0.2">
      <c r="I209" s="165"/>
    </row>
    <row r="210" spans="9:9" s="163" customFormat="1" x14ac:dyDescent="0.2">
      <c r="I210" s="165"/>
    </row>
    <row r="211" spans="9:9" s="163" customFormat="1" x14ac:dyDescent="0.2">
      <c r="I211" s="165"/>
    </row>
    <row r="212" spans="9:9" s="163" customFormat="1" x14ac:dyDescent="0.2">
      <c r="I212" s="165"/>
    </row>
    <row r="213" spans="9:9" s="163" customFormat="1" x14ac:dyDescent="0.2">
      <c r="I213" s="165"/>
    </row>
    <row r="214" spans="9:9" s="163" customFormat="1" x14ac:dyDescent="0.2">
      <c r="I214" s="165"/>
    </row>
    <row r="215" spans="9:9" s="163" customFormat="1" x14ac:dyDescent="0.2">
      <c r="I215" s="165"/>
    </row>
    <row r="216" spans="9:9" s="163" customFormat="1" x14ac:dyDescent="0.2">
      <c r="I216" s="165"/>
    </row>
    <row r="217" spans="9:9" s="163" customFormat="1" x14ac:dyDescent="0.2">
      <c r="I217" s="165"/>
    </row>
    <row r="218" spans="9:9" s="163" customFormat="1" x14ac:dyDescent="0.2">
      <c r="I218" s="165"/>
    </row>
    <row r="219" spans="9:9" s="163" customFormat="1" x14ac:dyDescent="0.2">
      <c r="I219" s="165"/>
    </row>
    <row r="220" spans="9:9" s="163" customFormat="1" x14ac:dyDescent="0.2">
      <c r="I220" s="165"/>
    </row>
    <row r="221" spans="9:9" s="163" customFormat="1" x14ac:dyDescent="0.2">
      <c r="I221" s="165"/>
    </row>
    <row r="222" spans="9:9" s="163" customFormat="1" x14ac:dyDescent="0.2">
      <c r="I222" s="165"/>
    </row>
    <row r="223" spans="9:9" s="163" customFormat="1" x14ac:dyDescent="0.2">
      <c r="I223" s="165"/>
    </row>
    <row r="224" spans="9:9" s="163" customFormat="1" x14ac:dyDescent="0.2">
      <c r="I224" s="165"/>
    </row>
    <row r="225" spans="9:9" s="163" customFormat="1" x14ac:dyDescent="0.2">
      <c r="I225" s="165"/>
    </row>
    <row r="226" spans="9:9" s="163" customFormat="1" x14ac:dyDescent="0.2">
      <c r="I226" s="165"/>
    </row>
    <row r="227" spans="9:9" s="163" customFormat="1" x14ac:dyDescent="0.2">
      <c r="I227" s="165"/>
    </row>
    <row r="228" spans="9:9" s="163" customFormat="1" x14ac:dyDescent="0.2">
      <c r="I228" s="165"/>
    </row>
    <row r="229" spans="9:9" s="163" customFormat="1" x14ac:dyDescent="0.2">
      <c r="I229" s="165"/>
    </row>
    <row r="230" spans="9:9" s="163" customFormat="1" x14ac:dyDescent="0.2">
      <c r="I230" s="165"/>
    </row>
    <row r="231" spans="9:9" s="163" customFormat="1" x14ac:dyDescent="0.2">
      <c r="I231" s="165"/>
    </row>
    <row r="232" spans="9:9" s="163" customFormat="1" x14ac:dyDescent="0.2">
      <c r="I232" s="165"/>
    </row>
    <row r="233" spans="9:9" s="163" customFormat="1" x14ac:dyDescent="0.2">
      <c r="I233" s="165"/>
    </row>
    <row r="234" spans="9:9" s="163" customFormat="1" x14ac:dyDescent="0.2">
      <c r="I234" s="165"/>
    </row>
    <row r="235" spans="9:9" s="163" customFormat="1" x14ac:dyDescent="0.2">
      <c r="I235" s="165"/>
    </row>
    <row r="236" spans="9:9" s="163" customFormat="1" x14ac:dyDescent="0.2">
      <c r="I236" s="165"/>
    </row>
    <row r="237" spans="9:9" s="163" customFormat="1" x14ac:dyDescent="0.2">
      <c r="I237" s="165"/>
    </row>
    <row r="238" spans="9:9" s="163" customFormat="1" x14ac:dyDescent="0.2">
      <c r="I238" s="165"/>
    </row>
    <row r="239" spans="9:9" s="163" customFormat="1" x14ac:dyDescent="0.2">
      <c r="I239" s="165"/>
    </row>
    <row r="240" spans="9:9" s="163" customFormat="1" x14ac:dyDescent="0.2">
      <c r="I240" s="165"/>
    </row>
    <row r="241" spans="9:9" s="163" customFormat="1" x14ac:dyDescent="0.2">
      <c r="I241" s="165"/>
    </row>
    <row r="242" spans="9:9" s="163" customFormat="1" x14ac:dyDescent="0.2">
      <c r="I242" s="165"/>
    </row>
    <row r="243" spans="9:9" s="163" customFormat="1" x14ac:dyDescent="0.2">
      <c r="I243" s="165"/>
    </row>
    <row r="244" spans="9:9" s="163" customFormat="1" x14ac:dyDescent="0.2">
      <c r="I244" s="165"/>
    </row>
    <row r="245" spans="9:9" s="163" customFormat="1" x14ac:dyDescent="0.2">
      <c r="I245" s="165"/>
    </row>
    <row r="246" spans="9:9" s="163" customFormat="1" x14ac:dyDescent="0.2">
      <c r="I246" s="165"/>
    </row>
    <row r="247" spans="9:9" s="163" customFormat="1" x14ac:dyDescent="0.2">
      <c r="I247" s="165"/>
    </row>
    <row r="248" spans="9:9" s="163" customFormat="1" x14ac:dyDescent="0.2">
      <c r="I248" s="165"/>
    </row>
    <row r="249" spans="9:9" s="163" customFormat="1" x14ac:dyDescent="0.2">
      <c r="I249" s="165"/>
    </row>
    <row r="250" spans="9:9" s="163" customFormat="1" x14ac:dyDescent="0.2">
      <c r="I250" s="165"/>
    </row>
    <row r="251" spans="9:9" s="163" customFormat="1" x14ac:dyDescent="0.2">
      <c r="I251" s="165"/>
    </row>
    <row r="252" spans="9:9" s="163" customFormat="1" x14ac:dyDescent="0.2">
      <c r="I252" s="165"/>
    </row>
    <row r="253" spans="9:9" s="163" customFormat="1" x14ac:dyDescent="0.2">
      <c r="I253" s="165"/>
    </row>
    <row r="254" spans="9:9" s="163" customFormat="1" x14ac:dyDescent="0.2">
      <c r="I254" s="165"/>
    </row>
    <row r="255" spans="9:9" s="163" customFormat="1" x14ac:dyDescent="0.2">
      <c r="I255" s="165"/>
    </row>
    <row r="256" spans="9:9" s="163" customFormat="1" x14ac:dyDescent="0.2">
      <c r="I256" s="165"/>
    </row>
    <row r="257" spans="9:9" s="163" customFormat="1" x14ac:dyDescent="0.2">
      <c r="I257" s="165"/>
    </row>
    <row r="258" spans="9:9" s="163" customFormat="1" x14ac:dyDescent="0.2">
      <c r="I258" s="165"/>
    </row>
    <row r="259" spans="9:9" s="163" customFormat="1" x14ac:dyDescent="0.2">
      <c r="I259" s="165"/>
    </row>
    <row r="260" spans="9:9" s="163" customFormat="1" x14ac:dyDescent="0.2">
      <c r="I260" s="165"/>
    </row>
    <row r="261" spans="9:9" s="163" customFormat="1" x14ac:dyDescent="0.2">
      <c r="I261" s="165"/>
    </row>
    <row r="262" spans="9:9" s="163" customFormat="1" x14ac:dyDescent="0.2">
      <c r="I262" s="165"/>
    </row>
    <row r="263" spans="9:9" s="163" customFormat="1" x14ac:dyDescent="0.2">
      <c r="I263" s="165"/>
    </row>
    <row r="264" spans="9:9" s="163" customFormat="1" x14ac:dyDescent="0.2">
      <c r="I264" s="165"/>
    </row>
    <row r="265" spans="9:9" s="163" customFormat="1" x14ac:dyDescent="0.2">
      <c r="I265" s="165"/>
    </row>
    <row r="266" spans="9:9" s="163" customFormat="1" x14ac:dyDescent="0.2">
      <c r="I266" s="165"/>
    </row>
    <row r="267" spans="9:9" s="163" customFormat="1" x14ac:dyDescent="0.2">
      <c r="I267" s="165"/>
    </row>
    <row r="268" spans="9:9" s="163" customFormat="1" x14ac:dyDescent="0.2">
      <c r="I268" s="165"/>
    </row>
    <row r="269" spans="9:9" s="163" customFormat="1" x14ac:dyDescent="0.2">
      <c r="I269" s="165"/>
    </row>
    <row r="270" spans="9:9" s="163" customFormat="1" x14ac:dyDescent="0.2">
      <c r="I270" s="165"/>
    </row>
    <row r="271" spans="9:9" s="163" customFormat="1" x14ac:dyDescent="0.2">
      <c r="I271" s="165"/>
    </row>
    <row r="272" spans="9:9" s="163" customFormat="1" x14ac:dyDescent="0.2">
      <c r="I272" s="165"/>
    </row>
    <row r="273" spans="9:9" s="163" customFormat="1" x14ac:dyDescent="0.2">
      <c r="I273" s="165"/>
    </row>
    <row r="274" spans="9:9" s="163" customFormat="1" x14ac:dyDescent="0.2">
      <c r="I274" s="165"/>
    </row>
    <row r="275" spans="9:9" s="163" customFormat="1" x14ac:dyDescent="0.2">
      <c r="I275" s="165"/>
    </row>
    <row r="276" spans="9:9" s="163" customFormat="1" x14ac:dyDescent="0.2">
      <c r="I276" s="165"/>
    </row>
    <row r="277" spans="9:9" s="163" customFormat="1" x14ac:dyDescent="0.2">
      <c r="I277" s="165"/>
    </row>
    <row r="278" spans="9:9" s="163" customFormat="1" x14ac:dyDescent="0.2">
      <c r="I278" s="165"/>
    </row>
    <row r="279" spans="9:9" s="163" customFormat="1" x14ac:dyDescent="0.2">
      <c r="I279" s="165"/>
    </row>
    <row r="280" spans="9:9" s="163" customFormat="1" x14ac:dyDescent="0.2">
      <c r="I280" s="165"/>
    </row>
    <row r="281" spans="9:9" s="163" customFormat="1" x14ac:dyDescent="0.2">
      <c r="I281" s="165"/>
    </row>
    <row r="282" spans="9:9" s="163" customFormat="1" x14ac:dyDescent="0.2">
      <c r="I282" s="165"/>
    </row>
    <row r="283" spans="9:9" s="163" customFormat="1" x14ac:dyDescent="0.2">
      <c r="I283" s="165"/>
    </row>
    <row r="284" spans="9:9" s="163" customFormat="1" x14ac:dyDescent="0.2">
      <c r="I284" s="165"/>
    </row>
    <row r="285" spans="9:9" s="163" customFormat="1" x14ac:dyDescent="0.2">
      <c r="I285" s="165"/>
    </row>
    <row r="286" spans="9:9" s="163" customFormat="1" x14ac:dyDescent="0.2">
      <c r="I286" s="165"/>
    </row>
    <row r="287" spans="9:9" s="163" customFormat="1" x14ac:dyDescent="0.2">
      <c r="I287" s="165"/>
    </row>
    <row r="288" spans="9:9" s="163" customFormat="1" x14ac:dyDescent="0.2">
      <c r="I288" s="165"/>
    </row>
    <row r="289" spans="9:9" s="163" customFormat="1" x14ac:dyDescent="0.2">
      <c r="I289" s="165"/>
    </row>
    <row r="290" spans="9:9" s="163" customFormat="1" x14ac:dyDescent="0.2">
      <c r="I290" s="165"/>
    </row>
    <row r="291" spans="9:9" s="163" customFormat="1" x14ac:dyDescent="0.2">
      <c r="I291" s="165"/>
    </row>
    <row r="292" spans="9:9" s="163" customFormat="1" x14ac:dyDescent="0.2">
      <c r="I292" s="165"/>
    </row>
    <row r="293" spans="9:9" s="163" customFormat="1" x14ac:dyDescent="0.2">
      <c r="I293" s="165"/>
    </row>
    <row r="294" spans="9:9" s="163" customFormat="1" x14ac:dyDescent="0.2">
      <c r="I294" s="165"/>
    </row>
    <row r="295" spans="9:9" s="163" customFormat="1" x14ac:dyDescent="0.2">
      <c r="I295" s="165"/>
    </row>
    <row r="296" spans="9:9" s="163" customFormat="1" x14ac:dyDescent="0.2">
      <c r="I296" s="165"/>
    </row>
    <row r="297" spans="9:9" s="163" customFormat="1" x14ac:dyDescent="0.2">
      <c r="I297" s="165"/>
    </row>
    <row r="298" spans="9:9" s="163" customFormat="1" x14ac:dyDescent="0.2">
      <c r="I298" s="165"/>
    </row>
    <row r="299" spans="9:9" s="163" customFormat="1" x14ac:dyDescent="0.2">
      <c r="I299" s="165"/>
    </row>
    <row r="300" spans="9:9" s="163" customFormat="1" x14ac:dyDescent="0.2">
      <c r="I300" s="165"/>
    </row>
    <row r="301" spans="9:9" s="163" customFormat="1" x14ac:dyDescent="0.2">
      <c r="I301" s="165"/>
    </row>
    <row r="302" spans="9:9" s="163" customFormat="1" x14ac:dyDescent="0.2">
      <c r="I302" s="165"/>
    </row>
    <row r="303" spans="9:9" s="163" customFormat="1" x14ac:dyDescent="0.2">
      <c r="I303" s="165"/>
    </row>
    <row r="304" spans="9:9" s="163" customFormat="1" x14ac:dyDescent="0.2">
      <c r="I304" s="165"/>
    </row>
    <row r="305" spans="9:9" s="163" customFormat="1" x14ac:dyDescent="0.2">
      <c r="I305" s="165"/>
    </row>
    <row r="306" spans="9:9" s="163" customFormat="1" x14ac:dyDescent="0.2">
      <c r="I306" s="165"/>
    </row>
    <row r="307" spans="9:9" s="163" customFormat="1" x14ac:dyDescent="0.2">
      <c r="I307" s="165"/>
    </row>
    <row r="308" spans="9:9" s="163" customFormat="1" x14ac:dyDescent="0.2">
      <c r="I308" s="165"/>
    </row>
    <row r="309" spans="9:9" s="163" customFormat="1" x14ac:dyDescent="0.2">
      <c r="I309" s="165"/>
    </row>
    <row r="310" spans="9:9" s="163" customFormat="1" x14ac:dyDescent="0.2">
      <c r="I310" s="165"/>
    </row>
    <row r="311" spans="9:9" s="163" customFormat="1" x14ac:dyDescent="0.2">
      <c r="I311" s="165"/>
    </row>
    <row r="312" spans="9:9" s="163" customFormat="1" x14ac:dyDescent="0.2">
      <c r="I312" s="165"/>
    </row>
    <row r="313" spans="9:9" s="163" customFormat="1" x14ac:dyDescent="0.2">
      <c r="I313" s="165"/>
    </row>
    <row r="314" spans="9:9" s="163" customFormat="1" x14ac:dyDescent="0.2">
      <c r="I314" s="165"/>
    </row>
    <row r="315" spans="9:9" s="163" customFormat="1" x14ac:dyDescent="0.2">
      <c r="I315" s="165"/>
    </row>
    <row r="316" spans="9:9" s="163" customFormat="1" x14ac:dyDescent="0.2">
      <c r="I316" s="165"/>
    </row>
    <row r="317" spans="9:9" s="163" customFormat="1" x14ac:dyDescent="0.2">
      <c r="I317" s="165"/>
    </row>
    <row r="318" spans="9:9" s="163" customFormat="1" x14ac:dyDescent="0.2">
      <c r="I318" s="165"/>
    </row>
    <row r="319" spans="9:9" s="163" customFormat="1" x14ac:dyDescent="0.2">
      <c r="I319" s="165"/>
    </row>
    <row r="320" spans="9:9" s="163" customFormat="1" x14ac:dyDescent="0.2">
      <c r="I320" s="165"/>
    </row>
    <row r="321" spans="9:9" s="163" customFormat="1" x14ac:dyDescent="0.2">
      <c r="I321" s="165"/>
    </row>
    <row r="322" spans="9:9" s="163" customFormat="1" x14ac:dyDescent="0.2">
      <c r="I322" s="165"/>
    </row>
    <row r="323" spans="9:9" s="163" customFormat="1" x14ac:dyDescent="0.2">
      <c r="I323" s="165"/>
    </row>
    <row r="324" spans="9:9" s="163" customFormat="1" x14ac:dyDescent="0.2">
      <c r="I324" s="165"/>
    </row>
    <row r="325" spans="9:9" s="163" customFormat="1" x14ac:dyDescent="0.2">
      <c r="I325" s="165"/>
    </row>
    <row r="326" spans="9:9" s="163" customFormat="1" x14ac:dyDescent="0.2">
      <c r="I326" s="165"/>
    </row>
    <row r="327" spans="9:9" s="163" customFormat="1" x14ac:dyDescent="0.2">
      <c r="I327" s="165"/>
    </row>
    <row r="328" spans="9:9" s="163" customFormat="1" x14ac:dyDescent="0.2">
      <c r="I328" s="165"/>
    </row>
    <row r="329" spans="9:9" s="163" customFormat="1" x14ac:dyDescent="0.2">
      <c r="I329" s="165"/>
    </row>
    <row r="330" spans="9:9" s="163" customFormat="1" x14ac:dyDescent="0.2">
      <c r="I330" s="165"/>
    </row>
    <row r="331" spans="9:9" s="163" customFormat="1" x14ac:dyDescent="0.2">
      <c r="I331" s="165"/>
    </row>
    <row r="332" spans="9:9" s="163" customFormat="1" x14ac:dyDescent="0.2">
      <c r="I332" s="165"/>
    </row>
    <row r="333" spans="9:9" s="163" customFormat="1" x14ac:dyDescent="0.2">
      <c r="I333" s="165"/>
    </row>
    <row r="334" spans="9:9" s="163" customFormat="1" x14ac:dyDescent="0.2">
      <c r="I334" s="165"/>
    </row>
    <row r="335" spans="9:9" s="163" customFormat="1" x14ac:dyDescent="0.2">
      <c r="I335" s="165"/>
    </row>
    <row r="336" spans="9:9" s="163" customFormat="1" x14ac:dyDescent="0.2">
      <c r="I336" s="165"/>
    </row>
    <row r="337" spans="9:9" s="163" customFormat="1" x14ac:dyDescent="0.2">
      <c r="I337" s="165"/>
    </row>
    <row r="338" spans="9:9" s="163" customFormat="1" x14ac:dyDescent="0.2">
      <c r="I338" s="165"/>
    </row>
    <row r="339" spans="9:9" s="163" customFormat="1" x14ac:dyDescent="0.2">
      <c r="I339" s="165"/>
    </row>
    <row r="340" spans="9:9" s="163" customFormat="1" x14ac:dyDescent="0.2">
      <c r="I340" s="165"/>
    </row>
    <row r="341" spans="9:9" s="163" customFormat="1" x14ac:dyDescent="0.2">
      <c r="I341" s="165"/>
    </row>
    <row r="342" spans="9:9" s="163" customFormat="1" x14ac:dyDescent="0.2">
      <c r="I342" s="165"/>
    </row>
    <row r="343" spans="9:9" s="163" customFormat="1" x14ac:dyDescent="0.2">
      <c r="I343" s="165"/>
    </row>
    <row r="344" spans="9:9" s="163" customFormat="1" x14ac:dyDescent="0.2">
      <c r="I344" s="165"/>
    </row>
    <row r="345" spans="9:9" s="163" customFormat="1" x14ac:dyDescent="0.2">
      <c r="I345" s="165"/>
    </row>
    <row r="346" spans="9:9" s="163" customFormat="1" x14ac:dyDescent="0.2">
      <c r="I346" s="165"/>
    </row>
    <row r="347" spans="9:9" s="163" customFormat="1" x14ac:dyDescent="0.2">
      <c r="I347" s="165"/>
    </row>
    <row r="348" spans="9:9" s="163" customFormat="1" x14ac:dyDescent="0.2">
      <c r="I348" s="165"/>
    </row>
    <row r="349" spans="9:9" s="163" customFormat="1" x14ac:dyDescent="0.2">
      <c r="I349" s="165"/>
    </row>
    <row r="350" spans="9:9" s="163" customFormat="1" x14ac:dyDescent="0.2">
      <c r="I350" s="165"/>
    </row>
    <row r="351" spans="9:9" s="163" customFormat="1" x14ac:dyDescent="0.2">
      <c r="I351" s="165"/>
    </row>
    <row r="352" spans="9:9" s="163" customFormat="1" x14ac:dyDescent="0.2">
      <c r="I352" s="165"/>
    </row>
    <row r="353" spans="9:9" s="163" customFormat="1" x14ac:dyDescent="0.2">
      <c r="I353" s="165"/>
    </row>
    <row r="354" spans="9:9" s="163" customFormat="1" x14ac:dyDescent="0.2">
      <c r="I354" s="165"/>
    </row>
    <row r="355" spans="9:9" s="163" customFormat="1" x14ac:dyDescent="0.2">
      <c r="I355" s="165"/>
    </row>
    <row r="356" spans="9:9" s="163" customFormat="1" x14ac:dyDescent="0.2">
      <c r="I356" s="165"/>
    </row>
    <row r="357" spans="9:9" s="163" customFormat="1" x14ac:dyDescent="0.2">
      <c r="I357" s="165"/>
    </row>
    <row r="358" spans="9:9" s="163" customFormat="1" x14ac:dyDescent="0.2">
      <c r="I358" s="165"/>
    </row>
    <row r="359" spans="9:9" s="163" customFormat="1" x14ac:dyDescent="0.2">
      <c r="I359" s="165"/>
    </row>
    <row r="360" spans="9:9" s="163" customFormat="1" x14ac:dyDescent="0.2">
      <c r="I360" s="165"/>
    </row>
    <row r="361" spans="9:9" s="163" customFormat="1" x14ac:dyDescent="0.2">
      <c r="I361" s="165"/>
    </row>
    <row r="362" spans="9:9" s="163" customFormat="1" x14ac:dyDescent="0.2">
      <c r="I362" s="165"/>
    </row>
    <row r="363" spans="9:9" s="163" customFormat="1" x14ac:dyDescent="0.2">
      <c r="I363" s="165"/>
    </row>
    <row r="364" spans="9:9" s="163" customFormat="1" x14ac:dyDescent="0.2">
      <c r="I364" s="165"/>
    </row>
    <row r="365" spans="9:9" s="163" customFormat="1" x14ac:dyDescent="0.2">
      <c r="I365" s="165"/>
    </row>
    <row r="366" spans="9:9" s="163" customFormat="1" x14ac:dyDescent="0.2">
      <c r="I366" s="165"/>
    </row>
    <row r="367" spans="9:9" s="163" customFormat="1" x14ac:dyDescent="0.2">
      <c r="I367" s="165"/>
    </row>
    <row r="368" spans="9:9" s="163" customFormat="1" x14ac:dyDescent="0.2">
      <c r="I368" s="165"/>
    </row>
    <row r="369" spans="9:9" s="163" customFormat="1" x14ac:dyDescent="0.2">
      <c r="I369" s="165"/>
    </row>
    <row r="370" spans="9:9" s="163" customFormat="1" x14ac:dyDescent="0.2">
      <c r="I370" s="165"/>
    </row>
    <row r="371" spans="9:9" s="163" customFormat="1" x14ac:dyDescent="0.2">
      <c r="I371" s="165"/>
    </row>
    <row r="372" spans="9:9" s="163" customFormat="1" x14ac:dyDescent="0.2">
      <c r="I372" s="165"/>
    </row>
    <row r="373" spans="9:9" s="163" customFormat="1" x14ac:dyDescent="0.2">
      <c r="I373" s="165"/>
    </row>
    <row r="374" spans="9:9" s="163" customFormat="1" x14ac:dyDescent="0.2">
      <c r="I374" s="165"/>
    </row>
    <row r="375" spans="9:9" s="163" customFormat="1" x14ac:dyDescent="0.2">
      <c r="I375" s="165"/>
    </row>
    <row r="376" spans="9:9" s="163" customFormat="1" x14ac:dyDescent="0.2">
      <c r="I376" s="165"/>
    </row>
    <row r="377" spans="9:9" s="163" customFormat="1" x14ac:dyDescent="0.2">
      <c r="I377" s="165"/>
    </row>
    <row r="378" spans="9:9" s="163" customFormat="1" x14ac:dyDescent="0.2">
      <c r="I378" s="165"/>
    </row>
    <row r="379" spans="9:9" s="163" customFormat="1" x14ac:dyDescent="0.2">
      <c r="I379" s="165"/>
    </row>
    <row r="380" spans="9:9" s="163" customFormat="1" x14ac:dyDescent="0.2">
      <c r="I380" s="165"/>
    </row>
    <row r="381" spans="9:9" s="163" customFormat="1" x14ac:dyDescent="0.2">
      <c r="I381" s="165"/>
    </row>
    <row r="382" spans="9:9" s="163" customFormat="1" x14ac:dyDescent="0.2">
      <c r="I382" s="165"/>
    </row>
    <row r="383" spans="9:9" s="163" customFormat="1" x14ac:dyDescent="0.2">
      <c r="I383" s="165"/>
    </row>
    <row r="384" spans="9:9" s="163" customFormat="1" x14ac:dyDescent="0.2">
      <c r="I384" s="165"/>
    </row>
    <row r="385" spans="9:9" s="163" customFormat="1" x14ac:dyDescent="0.2">
      <c r="I385" s="165"/>
    </row>
    <row r="386" spans="9:9" s="163" customFormat="1" x14ac:dyDescent="0.2">
      <c r="I386" s="165"/>
    </row>
    <row r="387" spans="9:9" s="163" customFormat="1" x14ac:dyDescent="0.2">
      <c r="I387" s="165"/>
    </row>
    <row r="388" spans="9:9" s="163" customFormat="1" x14ac:dyDescent="0.2">
      <c r="I388" s="165"/>
    </row>
    <row r="389" spans="9:9" s="163" customFormat="1" x14ac:dyDescent="0.2">
      <c r="I389" s="165"/>
    </row>
    <row r="390" spans="9:9" s="163" customFormat="1" x14ac:dyDescent="0.2">
      <c r="I390" s="165"/>
    </row>
    <row r="391" spans="9:9" s="163" customFormat="1" x14ac:dyDescent="0.2">
      <c r="I391" s="165"/>
    </row>
    <row r="392" spans="9:9" s="163" customFormat="1" x14ac:dyDescent="0.2">
      <c r="I392" s="165"/>
    </row>
    <row r="393" spans="9:9" s="163" customFormat="1" x14ac:dyDescent="0.2">
      <c r="I393" s="165"/>
    </row>
    <row r="394" spans="9:9" s="163" customFormat="1" x14ac:dyDescent="0.2">
      <c r="I394" s="165"/>
    </row>
    <row r="395" spans="9:9" s="163" customFormat="1" x14ac:dyDescent="0.2">
      <c r="I395" s="165"/>
    </row>
    <row r="396" spans="9:9" s="163" customFormat="1" x14ac:dyDescent="0.2">
      <c r="I396" s="165"/>
    </row>
    <row r="397" spans="9:9" s="163" customFormat="1" x14ac:dyDescent="0.2">
      <c r="I397" s="165"/>
    </row>
    <row r="398" spans="9:9" s="163" customFormat="1" x14ac:dyDescent="0.2">
      <c r="I398" s="165"/>
    </row>
    <row r="399" spans="9:9" s="163" customFormat="1" x14ac:dyDescent="0.2">
      <c r="I399" s="165"/>
    </row>
    <row r="400" spans="9:9" s="163" customFormat="1" x14ac:dyDescent="0.2">
      <c r="I400" s="165"/>
    </row>
    <row r="401" spans="9:9" s="163" customFormat="1" x14ac:dyDescent="0.2">
      <c r="I401" s="165"/>
    </row>
    <row r="402" spans="9:9" s="163" customFormat="1" x14ac:dyDescent="0.2">
      <c r="I402" s="165"/>
    </row>
    <row r="403" spans="9:9" s="163" customFormat="1" x14ac:dyDescent="0.2">
      <c r="I403" s="165"/>
    </row>
    <row r="404" spans="9:9" s="163" customFormat="1" x14ac:dyDescent="0.2">
      <c r="I404" s="165"/>
    </row>
    <row r="405" spans="9:9" s="163" customFormat="1" x14ac:dyDescent="0.2">
      <c r="I405" s="165"/>
    </row>
    <row r="406" spans="9:9" s="163" customFormat="1" x14ac:dyDescent="0.2">
      <c r="I406" s="165"/>
    </row>
    <row r="407" spans="9:9" s="163" customFormat="1" x14ac:dyDescent="0.2">
      <c r="I407" s="165"/>
    </row>
    <row r="408" spans="9:9" s="163" customFormat="1" x14ac:dyDescent="0.2">
      <c r="I408" s="165"/>
    </row>
    <row r="409" spans="9:9" s="163" customFormat="1" x14ac:dyDescent="0.2">
      <c r="I409" s="165"/>
    </row>
    <row r="410" spans="9:9" s="163" customFormat="1" x14ac:dyDescent="0.2">
      <c r="I410" s="165"/>
    </row>
    <row r="411" spans="9:9" s="163" customFormat="1" x14ac:dyDescent="0.2">
      <c r="I411" s="165"/>
    </row>
    <row r="412" spans="9:9" s="163" customFormat="1" x14ac:dyDescent="0.2">
      <c r="I412" s="165"/>
    </row>
    <row r="413" spans="9:9" s="163" customFormat="1" x14ac:dyDescent="0.2">
      <c r="I413" s="165"/>
    </row>
    <row r="414" spans="9:9" s="163" customFormat="1" x14ac:dyDescent="0.2">
      <c r="I414" s="165"/>
    </row>
    <row r="415" spans="9:9" s="163" customFormat="1" x14ac:dyDescent="0.2">
      <c r="I415" s="165"/>
    </row>
    <row r="416" spans="9:9" s="163" customFormat="1" x14ac:dyDescent="0.2">
      <c r="I416" s="165"/>
    </row>
    <row r="417" spans="9:9" s="163" customFormat="1" x14ac:dyDescent="0.2">
      <c r="I417" s="165"/>
    </row>
    <row r="418" spans="9:9" s="163" customFormat="1" x14ac:dyDescent="0.2">
      <c r="I418" s="165"/>
    </row>
    <row r="419" spans="9:9" s="163" customFormat="1" x14ac:dyDescent="0.2">
      <c r="I419" s="165"/>
    </row>
    <row r="420" spans="9:9" s="163" customFormat="1" x14ac:dyDescent="0.2">
      <c r="I420" s="165"/>
    </row>
    <row r="421" spans="9:9" s="163" customFormat="1" x14ac:dyDescent="0.2">
      <c r="I421" s="165"/>
    </row>
    <row r="422" spans="9:9" s="163" customFormat="1" x14ac:dyDescent="0.2">
      <c r="I422" s="165"/>
    </row>
    <row r="423" spans="9:9" s="163" customFormat="1" x14ac:dyDescent="0.2">
      <c r="I423" s="165"/>
    </row>
    <row r="424" spans="9:9" s="163" customFormat="1" x14ac:dyDescent="0.2">
      <c r="I424" s="165"/>
    </row>
    <row r="425" spans="9:9" s="163" customFormat="1" x14ac:dyDescent="0.2">
      <c r="I425" s="165"/>
    </row>
    <row r="426" spans="9:9" s="163" customFormat="1" x14ac:dyDescent="0.2">
      <c r="I426" s="165"/>
    </row>
    <row r="427" spans="9:9" s="163" customFormat="1" x14ac:dyDescent="0.2">
      <c r="I427" s="165"/>
    </row>
    <row r="428" spans="9:9" s="163" customFormat="1" x14ac:dyDescent="0.2">
      <c r="I428" s="165"/>
    </row>
    <row r="429" spans="9:9" s="163" customFormat="1" x14ac:dyDescent="0.2">
      <c r="I429" s="165"/>
    </row>
    <row r="430" spans="9:9" s="163" customFormat="1" x14ac:dyDescent="0.2">
      <c r="I430" s="165"/>
    </row>
    <row r="431" spans="9:9" s="163" customFormat="1" x14ac:dyDescent="0.2">
      <c r="I431" s="165"/>
    </row>
    <row r="432" spans="9:9" s="163" customFormat="1" x14ac:dyDescent="0.2">
      <c r="I432" s="165"/>
    </row>
    <row r="433" spans="9:9" s="163" customFormat="1" x14ac:dyDescent="0.2">
      <c r="I433" s="165"/>
    </row>
    <row r="434" spans="9:9" s="163" customFormat="1" x14ac:dyDescent="0.2">
      <c r="I434" s="165"/>
    </row>
    <row r="435" spans="9:9" s="163" customFormat="1" x14ac:dyDescent="0.2">
      <c r="I435" s="165"/>
    </row>
    <row r="436" spans="9:9" s="163" customFormat="1" x14ac:dyDescent="0.2">
      <c r="I436" s="165"/>
    </row>
    <row r="437" spans="9:9" s="163" customFormat="1" x14ac:dyDescent="0.2">
      <c r="I437" s="165"/>
    </row>
    <row r="438" spans="9:9" s="163" customFormat="1" x14ac:dyDescent="0.2">
      <c r="I438" s="165"/>
    </row>
    <row r="439" spans="9:9" s="163" customFormat="1" x14ac:dyDescent="0.2">
      <c r="I439" s="165"/>
    </row>
    <row r="440" spans="9:9" s="163" customFormat="1" x14ac:dyDescent="0.2">
      <c r="I440" s="165"/>
    </row>
    <row r="441" spans="9:9" s="163" customFormat="1" x14ac:dyDescent="0.2">
      <c r="I441" s="165"/>
    </row>
    <row r="442" spans="9:9" s="163" customFormat="1" x14ac:dyDescent="0.2">
      <c r="I442" s="165"/>
    </row>
    <row r="443" spans="9:9" s="163" customFormat="1" x14ac:dyDescent="0.2">
      <c r="I443" s="165"/>
    </row>
    <row r="444" spans="9:9" s="163" customFormat="1" x14ac:dyDescent="0.2">
      <c r="I444" s="165"/>
    </row>
    <row r="445" spans="9:9" s="163" customFormat="1" x14ac:dyDescent="0.2">
      <c r="I445" s="165"/>
    </row>
    <row r="446" spans="9:9" s="163" customFormat="1" x14ac:dyDescent="0.2">
      <c r="I446" s="165"/>
    </row>
    <row r="447" spans="9:9" s="163" customFormat="1" x14ac:dyDescent="0.2">
      <c r="I447" s="165"/>
    </row>
    <row r="448" spans="9:9" s="163" customFormat="1" x14ac:dyDescent="0.2">
      <c r="I448" s="165"/>
    </row>
    <row r="449" spans="9:9" s="163" customFormat="1" x14ac:dyDescent="0.2">
      <c r="I449" s="165"/>
    </row>
    <row r="450" spans="9:9" s="163" customFormat="1" x14ac:dyDescent="0.2">
      <c r="I450" s="165"/>
    </row>
    <row r="451" spans="9:9" s="163" customFormat="1" x14ac:dyDescent="0.2">
      <c r="I451" s="165"/>
    </row>
    <row r="452" spans="9:9" s="163" customFormat="1" x14ac:dyDescent="0.2">
      <c r="I452" s="165"/>
    </row>
    <row r="453" spans="9:9" s="163" customFormat="1" x14ac:dyDescent="0.2">
      <c r="I453" s="165"/>
    </row>
    <row r="454" spans="9:9" s="163" customFormat="1" x14ac:dyDescent="0.2">
      <c r="I454" s="165"/>
    </row>
    <row r="455" spans="9:9" s="163" customFormat="1" x14ac:dyDescent="0.2">
      <c r="I455" s="165"/>
    </row>
    <row r="456" spans="9:9" s="163" customFormat="1" x14ac:dyDescent="0.2">
      <c r="I456" s="165"/>
    </row>
    <row r="457" spans="9:9" s="163" customFormat="1" x14ac:dyDescent="0.2">
      <c r="I457" s="165"/>
    </row>
    <row r="458" spans="9:9" s="163" customFormat="1" x14ac:dyDescent="0.2">
      <c r="I458" s="165"/>
    </row>
    <row r="459" spans="9:9" s="163" customFormat="1" x14ac:dyDescent="0.2">
      <c r="I459" s="165"/>
    </row>
    <row r="460" spans="9:9" s="163" customFormat="1" x14ac:dyDescent="0.2">
      <c r="I460" s="165"/>
    </row>
    <row r="461" spans="9:9" s="163" customFormat="1" x14ac:dyDescent="0.2">
      <c r="I461" s="165"/>
    </row>
    <row r="462" spans="9:9" s="163" customFormat="1" x14ac:dyDescent="0.2">
      <c r="I462" s="165"/>
    </row>
    <row r="463" spans="9:9" s="163" customFormat="1" x14ac:dyDescent="0.2">
      <c r="I463" s="165"/>
    </row>
    <row r="464" spans="9:9" s="163" customFormat="1" x14ac:dyDescent="0.2">
      <c r="I464" s="165"/>
    </row>
    <row r="465" spans="9:9" s="163" customFormat="1" x14ac:dyDescent="0.2">
      <c r="I465" s="165"/>
    </row>
    <row r="466" spans="9:9" s="163" customFormat="1" x14ac:dyDescent="0.2">
      <c r="I466" s="165"/>
    </row>
    <row r="467" spans="9:9" s="163" customFormat="1" x14ac:dyDescent="0.2">
      <c r="I467" s="165"/>
    </row>
    <row r="468" spans="9:9" s="163" customFormat="1" x14ac:dyDescent="0.2">
      <c r="I468" s="165"/>
    </row>
    <row r="469" spans="9:9" s="163" customFormat="1" x14ac:dyDescent="0.2">
      <c r="I469" s="165"/>
    </row>
    <row r="470" spans="9:9" s="163" customFormat="1" x14ac:dyDescent="0.2">
      <c r="I470" s="165"/>
    </row>
    <row r="471" spans="9:9" s="163" customFormat="1" x14ac:dyDescent="0.2">
      <c r="I471" s="165"/>
    </row>
    <row r="472" spans="9:9" s="163" customFormat="1" x14ac:dyDescent="0.2">
      <c r="I472" s="165"/>
    </row>
    <row r="473" spans="9:9" s="163" customFormat="1" x14ac:dyDescent="0.2">
      <c r="I473" s="165"/>
    </row>
    <row r="474" spans="9:9" s="163" customFormat="1" x14ac:dyDescent="0.2">
      <c r="I474" s="165"/>
    </row>
    <row r="475" spans="9:9" s="163" customFormat="1" x14ac:dyDescent="0.2">
      <c r="I475" s="165"/>
    </row>
    <row r="476" spans="9:9" s="163" customFormat="1" x14ac:dyDescent="0.2">
      <c r="I476" s="165"/>
    </row>
    <row r="477" spans="9:9" s="163" customFormat="1" x14ac:dyDescent="0.2">
      <c r="I477" s="165"/>
    </row>
    <row r="478" spans="9:9" s="163" customFormat="1" x14ac:dyDescent="0.2">
      <c r="I478" s="165"/>
    </row>
    <row r="479" spans="9:9" s="163" customFormat="1" x14ac:dyDescent="0.2">
      <c r="I479" s="165"/>
    </row>
    <row r="480" spans="9:9" s="163" customFormat="1" x14ac:dyDescent="0.2">
      <c r="I480" s="165"/>
    </row>
    <row r="481" spans="9:9" s="163" customFormat="1" x14ac:dyDescent="0.2">
      <c r="I481" s="165"/>
    </row>
    <row r="482" spans="9:9" s="163" customFormat="1" x14ac:dyDescent="0.2">
      <c r="I482" s="165"/>
    </row>
    <row r="483" spans="9:9" s="163" customFormat="1" x14ac:dyDescent="0.2">
      <c r="I483" s="165"/>
    </row>
    <row r="484" spans="9:9" s="163" customFormat="1" x14ac:dyDescent="0.2">
      <c r="I484" s="165"/>
    </row>
    <row r="485" spans="9:9" s="163" customFormat="1" x14ac:dyDescent="0.2">
      <c r="I485" s="165"/>
    </row>
    <row r="486" spans="9:9" s="163" customFormat="1" x14ac:dyDescent="0.2">
      <c r="I486" s="165"/>
    </row>
    <row r="487" spans="9:9" s="163" customFormat="1" x14ac:dyDescent="0.2">
      <c r="I487" s="165"/>
    </row>
    <row r="488" spans="9:9" s="163" customFormat="1" x14ac:dyDescent="0.2">
      <c r="I488" s="165"/>
    </row>
    <row r="489" spans="9:9" s="163" customFormat="1" x14ac:dyDescent="0.2">
      <c r="I489" s="165"/>
    </row>
    <row r="490" spans="9:9" s="163" customFormat="1" x14ac:dyDescent="0.2">
      <c r="I490" s="165"/>
    </row>
    <row r="491" spans="9:9" s="163" customFormat="1" x14ac:dyDescent="0.2">
      <c r="I491" s="165"/>
    </row>
    <row r="492" spans="9:9" s="163" customFormat="1" x14ac:dyDescent="0.2">
      <c r="I492" s="165"/>
    </row>
    <row r="493" spans="9:9" s="163" customFormat="1" x14ac:dyDescent="0.2">
      <c r="I493" s="165"/>
    </row>
    <row r="494" spans="9:9" s="163" customFormat="1" x14ac:dyDescent="0.2">
      <c r="I494" s="165"/>
    </row>
    <row r="495" spans="9:9" s="163" customFormat="1" x14ac:dyDescent="0.2">
      <c r="I495" s="165"/>
    </row>
    <row r="496" spans="9:9" s="163" customFormat="1" x14ac:dyDescent="0.2">
      <c r="I496" s="165"/>
    </row>
    <row r="497" spans="9:9" s="163" customFormat="1" x14ac:dyDescent="0.2">
      <c r="I497" s="165"/>
    </row>
    <row r="498" spans="9:9" s="163" customFormat="1" x14ac:dyDescent="0.2">
      <c r="I498" s="165"/>
    </row>
    <row r="499" spans="9:9" s="163" customFormat="1" x14ac:dyDescent="0.2">
      <c r="I499" s="165"/>
    </row>
    <row r="500" spans="9:9" s="163" customFormat="1" x14ac:dyDescent="0.2">
      <c r="I500" s="165"/>
    </row>
    <row r="501" spans="9:9" s="163" customFormat="1" x14ac:dyDescent="0.2">
      <c r="I501" s="165"/>
    </row>
    <row r="502" spans="9:9" s="163" customFormat="1" x14ac:dyDescent="0.2">
      <c r="I502" s="165"/>
    </row>
    <row r="503" spans="9:9" s="163" customFormat="1" x14ac:dyDescent="0.2">
      <c r="I503" s="165"/>
    </row>
    <row r="504" spans="9:9" s="163" customFormat="1" x14ac:dyDescent="0.2">
      <c r="I504" s="165"/>
    </row>
    <row r="505" spans="9:9" s="163" customFormat="1" x14ac:dyDescent="0.2">
      <c r="I505" s="165"/>
    </row>
    <row r="506" spans="9:9" s="163" customFormat="1" x14ac:dyDescent="0.2">
      <c r="I506" s="165"/>
    </row>
    <row r="507" spans="9:9" s="163" customFormat="1" x14ac:dyDescent="0.2">
      <c r="I507" s="165"/>
    </row>
    <row r="508" spans="9:9" s="163" customFormat="1" x14ac:dyDescent="0.2">
      <c r="I508" s="165"/>
    </row>
    <row r="509" spans="9:9" s="163" customFormat="1" x14ac:dyDescent="0.2">
      <c r="I509" s="165"/>
    </row>
    <row r="510" spans="9:9" s="163" customFormat="1" x14ac:dyDescent="0.2">
      <c r="I510" s="165"/>
    </row>
    <row r="511" spans="9:9" s="163" customFormat="1" x14ac:dyDescent="0.2">
      <c r="I511" s="165"/>
    </row>
    <row r="512" spans="9:9" s="163" customFormat="1" x14ac:dyDescent="0.2">
      <c r="I512" s="165"/>
    </row>
    <row r="513" spans="9:9" s="163" customFormat="1" x14ac:dyDescent="0.2">
      <c r="I513" s="165"/>
    </row>
    <row r="514" spans="9:9" s="163" customFormat="1" x14ac:dyDescent="0.2">
      <c r="I514" s="165"/>
    </row>
    <row r="515" spans="9:9" s="163" customFormat="1" x14ac:dyDescent="0.2">
      <c r="I515" s="165"/>
    </row>
    <row r="516" spans="9:9" s="163" customFormat="1" x14ac:dyDescent="0.2">
      <c r="I516" s="165"/>
    </row>
    <row r="517" spans="9:9" s="163" customFormat="1" x14ac:dyDescent="0.2">
      <c r="I517" s="165"/>
    </row>
    <row r="518" spans="9:9" s="163" customFormat="1" x14ac:dyDescent="0.2">
      <c r="I518" s="165"/>
    </row>
    <row r="519" spans="9:9" s="163" customFormat="1" x14ac:dyDescent="0.2">
      <c r="I519" s="165"/>
    </row>
    <row r="520" spans="9:9" s="163" customFormat="1" x14ac:dyDescent="0.2">
      <c r="I520" s="165"/>
    </row>
    <row r="521" spans="9:9" s="163" customFormat="1" x14ac:dyDescent="0.2">
      <c r="I521" s="165"/>
    </row>
    <row r="522" spans="9:9" s="163" customFormat="1" x14ac:dyDescent="0.2">
      <c r="I522" s="165"/>
    </row>
    <row r="523" spans="9:9" s="163" customFormat="1" x14ac:dyDescent="0.2">
      <c r="I523" s="165"/>
    </row>
    <row r="524" spans="9:9" s="163" customFormat="1" x14ac:dyDescent="0.2">
      <c r="I524" s="165"/>
    </row>
    <row r="525" spans="9:9" s="163" customFormat="1" x14ac:dyDescent="0.2">
      <c r="I525" s="165"/>
    </row>
    <row r="526" spans="9:9" s="163" customFormat="1" x14ac:dyDescent="0.2">
      <c r="I526" s="165"/>
    </row>
    <row r="527" spans="9:9" s="163" customFormat="1" x14ac:dyDescent="0.2">
      <c r="I527" s="165"/>
    </row>
    <row r="528" spans="9:9" s="163" customFormat="1" x14ac:dyDescent="0.2">
      <c r="I528" s="165"/>
    </row>
    <row r="529" spans="9:9" s="163" customFormat="1" x14ac:dyDescent="0.2">
      <c r="I529" s="165"/>
    </row>
    <row r="530" spans="9:9" s="163" customFormat="1" x14ac:dyDescent="0.2">
      <c r="I530" s="165"/>
    </row>
    <row r="531" spans="9:9" s="163" customFormat="1" x14ac:dyDescent="0.2">
      <c r="I531" s="165"/>
    </row>
    <row r="532" spans="9:9" s="163" customFormat="1" x14ac:dyDescent="0.2">
      <c r="I532" s="165"/>
    </row>
    <row r="533" spans="9:9" s="163" customFormat="1" x14ac:dyDescent="0.2">
      <c r="I533" s="165"/>
    </row>
    <row r="534" spans="9:9" s="163" customFormat="1" x14ac:dyDescent="0.2">
      <c r="I534" s="165"/>
    </row>
    <row r="535" spans="9:9" s="163" customFormat="1" x14ac:dyDescent="0.2">
      <c r="I535" s="165"/>
    </row>
    <row r="536" spans="9:9" s="163" customFormat="1" x14ac:dyDescent="0.2">
      <c r="I536" s="165"/>
    </row>
    <row r="537" spans="9:9" s="163" customFormat="1" x14ac:dyDescent="0.2">
      <c r="I537" s="165"/>
    </row>
    <row r="538" spans="9:9" s="163" customFormat="1" x14ac:dyDescent="0.2">
      <c r="I538" s="165"/>
    </row>
    <row r="539" spans="9:9" s="163" customFormat="1" x14ac:dyDescent="0.2">
      <c r="I539" s="165"/>
    </row>
    <row r="540" spans="9:9" s="163" customFormat="1" x14ac:dyDescent="0.2">
      <c r="I540" s="165"/>
    </row>
    <row r="541" spans="9:9" s="163" customFormat="1" x14ac:dyDescent="0.2">
      <c r="I541" s="165"/>
    </row>
    <row r="542" spans="9:9" s="163" customFormat="1" x14ac:dyDescent="0.2">
      <c r="I542" s="165"/>
    </row>
    <row r="543" spans="9:9" s="163" customFormat="1" x14ac:dyDescent="0.2">
      <c r="I543" s="165"/>
    </row>
    <row r="544" spans="9:9" s="163" customFormat="1" x14ac:dyDescent="0.2">
      <c r="I544" s="165"/>
    </row>
    <row r="545" spans="9:9" s="163" customFormat="1" x14ac:dyDescent="0.2">
      <c r="I545" s="165"/>
    </row>
    <row r="546" spans="9:9" s="163" customFormat="1" x14ac:dyDescent="0.2">
      <c r="I546" s="165"/>
    </row>
    <row r="547" spans="9:9" s="163" customFormat="1" x14ac:dyDescent="0.2">
      <c r="I547" s="165"/>
    </row>
    <row r="548" spans="9:9" s="163" customFormat="1" x14ac:dyDescent="0.2">
      <c r="I548" s="165"/>
    </row>
    <row r="549" spans="9:9" s="163" customFormat="1" x14ac:dyDescent="0.2">
      <c r="I549" s="165"/>
    </row>
    <row r="550" spans="9:9" s="163" customFormat="1" x14ac:dyDescent="0.2">
      <c r="I550" s="165"/>
    </row>
    <row r="551" spans="9:9" s="163" customFormat="1" x14ac:dyDescent="0.2">
      <c r="I551" s="165"/>
    </row>
    <row r="552" spans="9:9" s="163" customFormat="1" x14ac:dyDescent="0.2">
      <c r="I552" s="165"/>
    </row>
    <row r="553" spans="9:9" s="163" customFormat="1" x14ac:dyDescent="0.2">
      <c r="I553" s="165"/>
    </row>
    <row r="554" spans="9:9" s="163" customFormat="1" x14ac:dyDescent="0.2">
      <c r="I554" s="165"/>
    </row>
    <row r="555" spans="9:9" s="163" customFormat="1" x14ac:dyDescent="0.2">
      <c r="I555" s="165"/>
    </row>
    <row r="556" spans="9:9" s="163" customFormat="1" x14ac:dyDescent="0.2">
      <c r="I556" s="165"/>
    </row>
    <row r="557" spans="9:9" s="163" customFormat="1" x14ac:dyDescent="0.2">
      <c r="I557" s="165"/>
    </row>
    <row r="558" spans="9:9" s="163" customFormat="1" x14ac:dyDescent="0.2">
      <c r="I558" s="165"/>
    </row>
    <row r="559" spans="9:9" s="163" customFormat="1" x14ac:dyDescent="0.2">
      <c r="I559" s="165"/>
    </row>
    <row r="560" spans="9:9" s="163" customFormat="1" x14ac:dyDescent="0.2">
      <c r="I560" s="165"/>
    </row>
    <row r="561" spans="9:9" s="163" customFormat="1" x14ac:dyDescent="0.2">
      <c r="I561" s="165"/>
    </row>
    <row r="562" spans="9:9" s="163" customFormat="1" x14ac:dyDescent="0.2">
      <c r="I562" s="165"/>
    </row>
    <row r="563" spans="9:9" s="163" customFormat="1" x14ac:dyDescent="0.2">
      <c r="I563" s="165"/>
    </row>
    <row r="564" spans="9:9" s="163" customFormat="1" x14ac:dyDescent="0.2">
      <c r="I564" s="165"/>
    </row>
    <row r="565" spans="9:9" s="163" customFormat="1" x14ac:dyDescent="0.2">
      <c r="I565" s="165"/>
    </row>
    <row r="566" spans="9:9" s="163" customFormat="1" x14ac:dyDescent="0.2">
      <c r="I566" s="165"/>
    </row>
    <row r="567" spans="9:9" s="163" customFormat="1" x14ac:dyDescent="0.2">
      <c r="I567" s="165"/>
    </row>
    <row r="568" spans="9:9" s="163" customFormat="1" x14ac:dyDescent="0.2">
      <c r="I568" s="165"/>
    </row>
    <row r="569" spans="9:9" s="163" customFormat="1" x14ac:dyDescent="0.2">
      <c r="I569" s="165"/>
    </row>
    <row r="570" spans="9:9" s="163" customFormat="1" x14ac:dyDescent="0.2">
      <c r="I570" s="165"/>
    </row>
    <row r="571" spans="9:9" s="163" customFormat="1" x14ac:dyDescent="0.2">
      <c r="I571" s="165"/>
    </row>
    <row r="572" spans="9:9" s="163" customFormat="1" x14ac:dyDescent="0.2">
      <c r="I572" s="165"/>
    </row>
    <row r="573" spans="9:9" s="163" customFormat="1" x14ac:dyDescent="0.2">
      <c r="I573" s="165"/>
    </row>
    <row r="574" spans="9:9" s="163" customFormat="1" x14ac:dyDescent="0.2">
      <c r="I574" s="165"/>
    </row>
    <row r="575" spans="9:9" s="163" customFormat="1" x14ac:dyDescent="0.2">
      <c r="I575" s="165"/>
    </row>
    <row r="576" spans="9:9" s="163" customFormat="1" x14ac:dyDescent="0.2">
      <c r="I576" s="165"/>
    </row>
    <row r="577" spans="9:9" s="163" customFormat="1" x14ac:dyDescent="0.2">
      <c r="I577" s="165"/>
    </row>
    <row r="578" spans="9:9" s="163" customFormat="1" x14ac:dyDescent="0.2">
      <c r="I578" s="165"/>
    </row>
    <row r="579" spans="9:9" s="163" customFormat="1" x14ac:dyDescent="0.2">
      <c r="I579" s="165"/>
    </row>
    <row r="580" spans="9:9" s="163" customFormat="1" x14ac:dyDescent="0.2">
      <c r="I580" s="165"/>
    </row>
    <row r="581" spans="9:9" s="163" customFormat="1" x14ac:dyDescent="0.2">
      <c r="I581" s="165"/>
    </row>
    <row r="582" spans="9:9" s="163" customFormat="1" x14ac:dyDescent="0.2">
      <c r="I582" s="165"/>
    </row>
    <row r="583" spans="9:9" s="163" customFormat="1" x14ac:dyDescent="0.2">
      <c r="I583" s="165"/>
    </row>
    <row r="584" spans="9:9" s="163" customFormat="1" x14ac:dyDescent="0.2">
      <c r="I584" s="165"/>
    </row>
    <row r="585" spans="9:9" s="163" customFormat="1" x14ac:dyDescent="0.2">
      <c r="I585" s="165"/>
    </row>
    <row r="586" spans="9:9" s="163" customFormat="1" x14ac:dyDescent="0.2">
      <c r="I586" s="165"/>
    </row>
    <row r="587" spans="9:9" s="163" customFormat="1" x14ac:dyDescent="0.2">
      <c r="I587" s="165"/>
    </row>
    <row r="588" spans="9:9" s="163" customFormat="1" x14ac:dyDescent="0.2">
      <c r="I588" s="165"/>
    </row>
    <row r="589" spans="9:9" s="163" customFormat="1" x14ac:dyDescent="0.2">
      <c r="I589" s="165"/>
    </row>
    <row r="590" spans="9:9" s="163" customFormat="1" x14ac:dyDescent="0.2">
      <c r="I590" s="165"/>
    </row>
    <row r="591" spans="9:9" s="163" customFormat="1" x14ac:dyDescent="0.2">
      <c r="I591" s="165"/>
    </row>
    <row r="592" spans="9:9" s="163" customFormat="1" x14ac:dyDescent="0.2">
      <c r="I592" s="165"/>
    </row>
    <row r="593" spans="9:9" s="163" customFormat="1" x14ac:dyDescent="0.2">
      <c r="I593" s="165"/>
    </row>
    <row r="594" spans="9:9" s="163" customFormat="1" x14ac:dyDescent="0.2">
      <c r="I594" s="165"/>
    </row>
    <row r="595" spans="9:9" s="163" customFormat="1" x14ac:dyDescent="0.2">
      <c r="I595" s="165"/>
    </row>
    <row r="596" spans="9:9" s="163" customFormat="1" x14ac:dyDescent="0.2">
      <c r="I596" s="165"/>
    </row>
    <row r="597" spans="9:9" s="163" customFormat="1" x14ac:dyDescent="0.2">
      <c r="I597" s="165"/>
    </row>
    <row r="598" spans="9:9" s="163" customFormat="1" x14ac:dyDescent="0.2">
      <c r="I598" s="165"/>
    </row>
    <row r="599" spans="9:9" s="163" customFormat="1" x14ac:dyDescent="0.2">
      <c r="I599" s="165"/>
    </row>
    <row r="600" spans="9:9" s="163" customFormat="1" x14ac:dyDescent="0.2">
      <c r="I600" s="165"/>
    </row>
    <row r="601" spans="9:9" s="163" customFormat="1" x14ac:dyDescent="0.2">
      <c r="I601" s="165"/>
    </row>
    <row r="602" spans="9:9" s="163" customFormat="1" x14ac:dyDescent="0.2">
      <c r="I602" s="165"/>
    </row>
    <row r="603" spans="9:9" s="163" customFormat="1" x14ac:dyDescent="0.2">
      <c r="I603" s="165"/>
    </row>
    <row r="604" spans="9:9" s="163" customFormat="1" x14ac:dyDescent="0.2">
      <c r="I604" s="165"/>
    </row>
    <row r="605" spans="9:9" s="163" customFormat="1" x14ac:dyDescent="0.2">
      <c r="I605" s="165"/>
    </row>
    <row r="606" spans="9:9" s="163" customFormat="1" x14ac:dyDescent="0.2">
      <c r="I606" s="165"/>
    </row>
    <row r="607" spans="9:9" s="163" customFormat="1" x14ac:dyDescent="0.2">
      <c r="I607" s="165"/>
    </row>
    <row r="608" spans="9:9" s="163" customFormat="1" x14ac:dyDescent="0.2">
      <c r="I608" s="165"/>
    </row>
    <row r="609" spans="9:9" s="163" customFormat="1" x14ac:dyDescent="0.2">
      <c r="I609" s="165"/>
    </row>
    <row r="610" spans="9:9" s="163" customFormat="1" x14ac:dyDescent="0.2">
      <c r="I610" s="165"/>
    </row>
    <row r="611" spans="9:9" s="163" customFormat="1" x14ac:dyDescent="0.2">
      <c r="I611" s="165"/>
    </row>
    <row r="612" spans="9:9" s="163" customFormat="1" x14ac:dyDescent="0.2">
      <c r="I612" s="165"/>
    </row>
    <row r="613" spans="9:9" s="163" customFormat="1" x14ac:dyDescent="0.2">
      <c r="I613" s="165"/>
    </row>
    <row r="614" spans="9:9" s="163" customFormat="1" x14ac:dyDescent="0.2">
      <c r="I614" s="165"/>
    </row>
    <row r="615" spans="9:9" s="163" customFormat="1" x14ac:dyDescent="0.2">
      <c r="I615" s="165"/>
    </row>
    <row r="616" spans="9:9" s="163" customFormat="1" x14ac:dyDescent="0.2">
      <c r="I616" s="165"/>
    </row>
    <row r="617" spans="9:9" s="163" customFormat="1" x14ac:dyDescent="0.2">
      <c r="I617" s="165"/>
    </row>
    <row r="618" spans="9:9" s="163" customFormat="1" x14ac:dyDescent="0.2">
      <c r="I618" s="165"/>
    </row>
    <row r="619" spans="9:9" s="163" customFormat="1" x14ac:dyDescent="0.2">
      <c r="I619" s="165"/>
    </row>
    <row r="620" spans="9:9" s="163" customFormat="1" x14ac:dyDescent="0.2">
      <c r="I620" s="165"/>
    </row>
    <row r="621" spans="9:9" s="163" customFormat="1" x14ac:dyDescent="0.2">
      <c r="I621" s="165"/>
    </row>
    <row r="622" spans="9:9" s="163" customFormat="1" x14ac:dyDescent="0.2">
      <c r="I622" s="165"/>
    </row>
    <row r="623" spans="9:9" s="163" customFormat="1" x14ac:dyDescent="0.2">
      <c r="I623" s="165"/>
    </row>
    <row r="624" spans="9:9" s="163" customFormat="1" x14ac:dyDescent="0.2">
      <c r="I624" s="165"/>
    </row>
    <row r="625" spans="9:9" s="163" customFormat="1" x14ac:dyDescent="0.2">
      <c r="I625" s="165"/>
    </row>
    <row r="626" spans="9:9" s="163" customFormat="1" x14ac:dyDescent="0.2">
      <c r="I626" s="165"/>
    </row>
    <row r="627" spans="9:9" s="163" customFormat="1" x14ac:dyDescent="0.2">
      <c r="I627" s="165"/>
    </row>
    <row r="628" spans="9:9" s="163" customFormat="1" x14ac:dyDescent="0.2">
      <c r="I628" s="165"/>
    </row>
    <row r="629" spans="9:9" s="163" customFormat="1" x14ac:dyDescent="0.2">
      <c r="I629" s="165"/>
    </row>
    <row r="630" spans="9:9" s="163" customFormat="1" x14ac:dyDescent="0.2">
      <c r="I630" s="165"/>
    </row>
    <row r="631" spans="9:9" s="163" customFormat="1" x14ac:dyDescent="0.2">
      <c r="I631" s="165"/>
    </row>
    <row r="632" spans="9:9" s="163" customFormat="1" x14ac:dyDescent="0.2">
      <c r="I632" s="165"/>
    </row>
    <row r="633" spans="9:9" s="163" customFormat="1" x14ac:dyDescent="0.2">
      <c r="I633" s="165"/>
    </row>
    <row r="634" spans="9:9" s="163" customFormat="1" x14ac:dyDescent="0.2">
      <c r="I634" s="165"/>
    </row>
    <row r="635" spans="9:9" s="163" customFormat="1" x14ac:dyDescent="0.2">
      <c r="I635" s="165"/>
    </row>
    <row r="636" spans="9:9" s="163" customFormat="1" x14ac:dyDescent="0.2">
      <c r="I636" s="165"/>
    </row>
    <row r="637" spans="9:9" s="163" customFormat="1" x14ac:dyDescent="0.2">
      <c r="I637" s="165"/>
    </row>
    <row r="638" spans="9:9" s="163" customFormat="1" x14ac:dyDescent="0.2">
      <c r="I638" s="165"/>
    </row>
    <row r="639" spans="9:9" s="163" customFormat="1" x14ac:dyDescent="0.2">
      <c r="I639" s="165"/>
    </row>
    <row r="640" spans="9:9" s="163" customFormat="1" x14ac:dyDescent="0.2">
      <c r="I640" s="165"/>
    </row>
    <row r="641" spans="9:9" s="163" customFormat="1" x14ac:dyDescent="0.2">
      <c r="I641" s="165"/>
    </row>
    <row r="642" spans="9:9" s="163" customFormat="1" x14ac:dyDescent="0.2">
      <c r="I642" s="165"/>
    </row>
    <row r="643" spans="9:9" s="163" customFormat="1" x14ac:dyDescent="0.2">
      <c r="I643" s="165"/>
    </row>
    <row r="644" spans="9:9" s="163" customFormat="1" x14ac:dyDescent="0.2">
      <c r="I644" s="165"/>
    </row>
    <row r="645" spans="9:9" s="163" customFormat="1" x14ac:dyDescent="0.2">
      <c r="I645" s="165"/>
    </row>
    <row r="646" spans="9:9" s="163" customFormat="1" x14ac:dyDescent="0.2">
      <c r="I646" s="165"/>
    </row>
    <row r="647" spans="9:9" s="163" customFormat="1" x14ac:dyDescent="0.2">
      <c r="I647" s="165"/>
    </row>
    <row r="648" spans="9:9" s="163" customFormat="1" x14ac:dyDescent="0.2">
      <c r="I648" s="165"/>
    </row>
    <row r="649" spans="9:9" s="163" customFormat="1" x14ac:dyDescent="0.2">
      <c r="I649" s="165"/>
    </row>
    <row r="650" spans="9:9" s="163" customFormat="1" x14ac:dyDescent="0.2">
      <c r="I650" s="165"/>
    </row>
    <row r="651" spans="9:9" s="163" customFormat="1" x14ac:dyDescent="0.2">
      <c r="I651" s="165"/>
    </row>
    <row r="652" spans="9:9" s="163" customFormat="1" x14ac:dyDescent="0.2">
      <c r="I652" s="165"/>
    </row>
    <row r="653" spans="9:9" s="163" customFormat="1" x14ac:dyDescent="0.2">
      <c r="I653" s="165"/>
    </row>
    <row r="654" spans="9:9" s="163" customFormat="1" x14ac:dyDescent="0.2">
      <c r="I654" s="165"/>
    </row>
    <row r="655" spans="9:9" s="163" customFormat="1" x14ac:dyDescent="0.2">
      <c r="I655" s="165"/>
    </row>
    <row r="656" spans="9:9" s="163" customFormat="1" x14ac:dyDescent="0.2">
      <c r="I656" s="165"/>
    </row>
    <row r="657" spans="9:9" s="163" customFormat="1" x14ac:dyDescent="0.2">
      <c r="I657" s="165"/>
    </row>
    <row r="658" spans="9:9" s="163" customFormat="1" x14ac:dyDescent="0.2">
      <c r="I658" s="165"/>
    </row>
    <row r="659" spans="9:9" s="163" customFormat="1" x14ac:dyDescent="0.2">
      <c r="I659" s="165"/>
    </row>
    <row r="660" spans="9:9" s="163" customFormat="1" x14ac:dyDescent="0.2">
      <c r="I660" s="165"/>
    </row>
    <row r="661" spans="9:9" s="163" customFormat="1" x14ac:dyDescent="0.2">
      <c r="I661" s="165"/>
    </row>
    <row r="662" spans="9:9" s="163" customFormat="1" x14ac:dyDescent="0.2">
      <c r="I662" s="165"/>
    </row>
    <row r="663" spans="9:9" s="163" customFormat="1" x14ac:dyDescent="0.2">
      <c r="I663" s="165"/>
    </row>
    <row r="664" spans="9:9" s="163" customFormat="1" x14ac:dyDescent="0.2">
      <c r="I664" s="165"/>
    </row>
    <row r="665" spans="9:9" s="163" customFormat="1" x14ac:dyDescent="0.2">
      <c r="I665" s="165"/>
    </row>
    <row r="666" spans="9:9" s="163" customFormat="1" x14ac:dyDescent="0.2">
      <c r="I666" s="165"/>
    </row>
    <row r="667" spans="9:9" s="163" customFormat="1" x14ac:dyDescent="0.2">
      <c r="I667" s="165"/>
    </row>
    <row r="668" spans="9:9" s="163" customFormat="1" x14ac:dyDescent="0.2">
      <c r="I668" s="165"/>
    </row>
    <row r="669" spans="9:9" s="163" customFormat="1" x14ac:dyDescent="0.2">
      <c r="I669" s="165"/>
    </row>
    <row r="670" spans="9:9" s="163" customFormat="1" x14ac:dyDescent="0.2">
      <c r="I670" s="165"/>
    </row>
    <row r="671" spans="9:9" s="163" customFormat="1" x14ac:dyDescent="0.2">
      <c r="I671" s="165"/>
    </row>
    <row r="672" spans="9:9" s="163" customFormat="1" x14ac:dyDescent="0.2">
      <c r="I672" s="165"/>
    </row>
    <row r="673" spans="9:9" s="163" customFormat="1" x14ac:dyDescent="0.2">
      <c r="I673" s="165"/>
    </row>
    <row r="674" spans="9:9" s="163" customFormat="1" x14ac:dyDescent="0.2">
      <c r="I674" s="165"/>
    </row>
    <row r="675" spans="9:9" s="163" customFormat="1" x14ac:dyDescent="0.2">
      <c r="I675" s="165"/>
    </row>
    <row r="676" spans="9:9" s="163" customFormat="1" x14ac:dyDescent="0.2">
      <c r="I676" s="165"/>
    </row>
    <row r="677" spans="9:9" s="163" customFormat="1" x14ac:dyDescent="0.2">
      <c r="I677" s="165"/>
    </row>
    <row r="678" spans="9:9" s="163" customFormat="1" x14ac:dyDescent="0.2">
      <c r="I678" s="165"/>
    </row>
    <row r="679" spans="9:9" s="163" customFormat="1" x14ac:dyDescent="0.2">
      <c r="I679" s="165"/>
    </row>
    <row r="680" spans="9:9" s="163" customFormat="1" x14ac:dyDescent="0.2">
      <c r="I680" s="165"/>
    </row>
    <row r="681" spans="9:9" s="163" customFormat="1" x14ac:dyDescent="0.2">
      <c r="I681" s="165"/>
    </row>
    <row r="682" spans="9:9" s="163" customFormat="1" x14ac:dyDescent="0.2">
      <c r="I682" s="165"/>
    </row>
    <row r="683" spans="9:9" s="163" customFormat="1" x14ac:dyDescent="0.2">
      <c r="I683" s="165"/>
    </row>
    <row r="684" spans="9:9" s="163" customFormat="1" x14ac:dyDescent="0.2">
      <c r="I684" s="165"/>
    </row>
    <row r="685" spans="9:9" s="163" customFormat="1" x14ac:dyDescent="0.2">
      <c r="I685" s="165"/>
    </row>
    <row r="686" spans="9:9" s="163" customFormat="1" x14ac:dyDescent="0.2">
      <c r="I686" s="165"/>
    </row>
    <row r="687" spans="9:9" s="163" customFormat="1" x14ac:dyDescent="0.2">
      <c r="I687" s="165"/>
    </row>
    <row r="688" spans="9:9" s="163" customFormat="1" x14ac:dyDescent="0.2">
      <c r="I688" s="165"/>
    </row>
    <row r="689" spans="9:9" s="163" customFormat="1" x14ac:dyDescent="0.2">
      <c r="I689" s="165"/>
    </row>
    <row r="690" spans="9:9" s="163" customFormat="1" x14ac:dyDescent="0.2">
      <c r="I690" s="165"/>
    </row>
    <row r="691" spans="9:9" s="163" customFormat="1" x14ac:dyDescent="0.2">
      <c r="I691" s="165"/>
    </row>
    <row r="692" spans="9:9" s="163" customFormat="1" x14ac:dyDescent="0.2">
      <c r="I692" s="165"/>
    </row>
    <row r="693" spans="9:9" s="163" customFormat="1" x14ac:dyDescent="0.2">
      <c r="I693" s="165"/>
    </row>
    <row r="694" spans="9:9" s="163" customFormat="1" x14ac:dyDescent="0.2">
      <c r="I694" s="165"/>
    </row>
    <row r="695" spans="9:9" s="163" customFormat="1" x14ac:dyDescent="0.2">
      <c r="I695" s="165"/>
    </row>
    <row r="696" spans="9:9" s="163" customFormat="1" x14ac:dyDescent="0.2">
      <c r="I696" s="165"/>
    </row>
    <row r="697" spans="9:9" s="163" customFormat="1" x14ac:dyDescent="0.2">
      <c r="I697" s="165"/>
    </row>
    <row r="698" spans="9:9" s="163" customFormat="1" x14ac:dyDescent="0.2">
      <c r="I698" s="165"/>
    </row>
    <row r="699" spans="9:9" s="163" customFormat="1" x14ac:dyDescent="0.2">
      <c r="I699" s="165"/>
    </row>
    <row r="700" spans="9:9" s="163" customFormat="1" x14ac:dyDescent="0.2">
      <c r="I700" s="165"/>
    </row>
    <row r="701" spans="9:9" s="163" customFormat="1" x14ac:dyDescent="0.2">
      <c r="I701" s="165"/>
    </row>
    <row r="702" spans="9:9" s="163" customFormat="1" x14ac:dyDescent="0.2">
      <c r="I702" s="165"/>
    </row>
    <row r="703" spans="9:9" s="163" customFormat="1" x14ac:dyDescent="0.2">
      <c r="I703" s="165"/>
    </row>
    <row r="704" spans="9:9" s="163" customFormat="1" x14ac:dyDescent="0.2">
      <c r="I704" s="165"/>
    </row>
    <row r="705" spans="9:9" s="163" customFormat="1" x14ac:dyDescent="0.2">
      <c r="I705" s="165"/>
    </row>
    <row r="706" spans="9:9" s="163" customFormat="1" x14ac:dyDescent="0.2">
      <c r="I706" s="165"/>
    </row>
    <row r="707" spans="9:9" s="163" customFormat="1" x14ac:dyDescent="0.2">
      <c r="I707" s="165"/>
    </row>
    <row r="708" spans="9:9" s="163" customFormat="1" x14ac:dyDescent="0.2">
      <c r="I708" s="165"/>
    </row>
    <row r="709" spans="9:9" s="163" customFormat="1" x14ac:dyDescent="0.2">
      <c r="I709" s="165"/>
    </row>
    <row r="710" spans="9:9" s="163" customFormat="1" x14ac:dyDescent="0.2">
      <c r="I710" s="165"/>
    </row>
    <row r="711" spans="9:9" s="163" customFormat="1" x14ac:dyDescent="0.2">
      <c r="I711" s="165"/>
    </row>
    <row r="712" spans="9:9" s="163" customFormat="1" x14ac:dyDescent="0.2">
      <c r="I712" s="165"/>
    </row>
    <row r="713" spans="9:9" s="163" customFormat="1" x14ac:dyDescent="0.2">
      <c r="I713" s="165"/>
    </row>
    <row r="714" spans="9:9" s="163" customFormat="1" x14ac:dyDescent="0.2">
      <c r="I714" s="165"/>
    </row>
    <row r="715" spans="9:9" s="163" customFormat="1" x14ac:dyDescent="0.2">
      <c r="I715" s="165"/>
    </row>
    <row r="716" spans="9:9" s="163" customFormat="1" x14ac:dyDescent="0.2">
      <c r="I716" s="165"/>
    </row>
    <row r="717" spans="9:9" s="163" customFormat="1" x14ac:dyDescent="0.2">
      <c r="I717" s="165"/>
    </row>
    <row r="718" spans="9:9" s="163" customFormat="1" x14ac:dyDescent="0.2">
      <c r="I718" s="165"/>
    </row>
    <row r="719" spans="9:9" s="163" customFormat="1" x14ac:dyDescent="0.2">
      <c r="I719" s="165"/>
    </row>
    <row r="720" spans="9:9" s="163" customFormat="1" x14ac:dyDescent="0.2">
      <c r="I720" s="165"/>
    </row>
    <row r="721" spans="9:9" s="163" customFormat="1" x14ac:dyDescent="0.2">
      <c r="I721" s="165"/>
    </row>
    <row r="722" spans="9:9" s="163" customFormat="1" x14ac:dyDescent="0.2">
      <c r="I722" s="165"/>
    </row>
    <row r="723" spans="9:9" s="163" customFormat="1" x14ac:dyDescent="0.2">
      <c r="I723" s="165"/>
    </row>
    <row r="724" spans="9:9" s="163" customFormat="1" x14ac:dyDescent="0.2">
      <c r="I724" s="165"/>
    </row>
    <row r="725" spans="9:9" s="163" customFormat="1" x14ac:dyDescent="0.2">
      <c r="I725" s="165"/>
    </row>
    <row r="726" spans="9:9" s="163" customFormat="1" x14ac:dyDescent="0.2">
      <c r="I726" s="165"/>
    </row>
    <row r="727" spans="9:9" s="163" customFormat="1" x14ac:dyDescent="0.2">
      <c r="I727" s="165"/>
    </row>
    <row r="728" spans="9:9" s="163" customFormat="1" x14ac:dyDescent="0.2">
      <c r="I728" s="165"/>
    </row>
    <row r="729" spans="9:9" s="163" customFormat="1" x14ac:dyDescent="0.2">
      <c r="I729" s="165"/>
    </row>
    <row r="730" spans="9:9" s="163" customFormat="1" x14ac:dyDescent="0.2">
      <c r="I730" s="165"/>
    </row>
    <row r="731" spans="9:9" s="163" customFormat="1" x14ac:dyDescent="0.2">
      <c r="I731" s="165"/>
    </row>
    <row r="732" spans="9:9" s="163" customFormat="1" x14ac:dyDescent="0.2">
      <c r="I732" s="165"/>
    </row>
    <row r="733" spans="9:9" s="163" customFormat="1" x14ac:dyDescent="0.2">
      <c r="I733" s="165"/>
    </row>
    <row r="734" spans="9:9" s="163" customFormat="1" x14ac:dyDescent="0.2">
      <c r="I734" s="165"/>
    </row>
    <row r="735" spans="9:9" s="163" customFormat="1" x14ac:dyDescent="0.2">
      <c r="I735" s="165"/>
    </row>
    <row r="736" spans="9:9" s="163" customFormat="1" x14ac:dyDescent="0.2">
      <c r="I736" s="165"/>
    </row>
    <row r="737" spans="9:9" s="163" customFormat="1" x14ac:dyDescent="0.2">
      <c r="I737" s="165"/>
    </row>
    <row r="738" spans="9:9" s="163" customFormat="1" x14ac:dyDescent="0.2">
      <c r="I738" s="165"/>
    </row>
    <row r="739" spans="9:9" s="163" customFormat="1" x14ac:dyDescent="0.2">
      <c r="I739" s="165"/>
    </row>
    <row r="740" spans="9:9" s="163" customFormat="1" x14ac:dyDescent="0.2">
      <c r="I740" s="165"/>
    </row>
    <row r="741" spans="9:9" s="163" customFormat="1" x14ac:dyDescent="0.2">
      <c r="I741" s="165"/>
    </row>
    <row r="742" spans="9:9" s="163" customFormat="1" x14ac:dyDescent="0.2">
      <c r="I742" s="165"/>
    </row>
    <row r="743" spans="9:9" s="163" customFormat="1" x14ac:dyDescent="0.2">
      <c r="I743" s="165"/>
    </row>
    <row r="744" spans="9:9" s="163" customFormat="1" x14ac:dyDescent="0.2">
      <c r="I744" s="165"/>
    </row>
    <row r="745" spans="9:9" s="163" customFormat="1" x14ac:dyDescent="0.2">
      <c r="I745" s="165"/>
    </row>
    <row r="746" spans="9:9" s="163" customFormat="1" x14ac:dyDescent="0.2">
      <c r="I746" s="165"/>
    </row>
    <row r="747" spans="9:9" s="163" customFormat="1" x14ac:dyDescent="0.2">
      <c r="I747" s="165"/>
    </row>
    <row r="748" spans="9:9" s="163" customFormat="1" x14ac:dyDescent="0.2">
      <c r="I748" s="165"/>
    </row>
    <row r="749" spans="9:9" s="163" customFormat="1" x14ac:dyDescent="0.2">
      <c r="I749" s="165"/>
    </row>
    <row r="750" spans="9:9" s="163" customFormat="1" x14ac:dyDescent="0.2">
      <c r="I750" s="165"/>
    </row>
    <row r="751" spans="9:9" s="163" customFormat="1" x14ac:dyDescent="0.2">
      <c r="I751" s="165"/>
    </row>
    <row r="752" spans="9:9" s="163" customFormat="1" x14ac:dyDescent="0.2">
      <c r="I752" s="165"/>
    </row>
    <row r="753" spans="9:9" s="163" customFormat="1" x14ac:dyDescent="0.2">
      <c r="I753" s="165"/>
    </row>
    <row r="754" spans="9:9" s="163" customFormat="1" x14ac:dyDescent="0.2">
      <c r="I754" s="165"/>
    </row>
    <row r="755" spans="9:9" s="163" customFormat="1" x14ac:dyDescent="0.2">
      <c r="I755" s="165"/>
    </row>
    <row r="756" spans="9:9" s="163" customFormat="1" x14ac:dyDescent="0.2">
      <c r="I756" s="165"/>
    </row>
    <row r="757" spans="9:9" s="163" customFormat="1" x14ac:dyDescent="0.2">
      <c r="I757" s="165"/>
    </row>
    <row r="758" spans="9:9" s="163" customFormat="1" x14ac:dyDescent="0.2">
      <c r="I758" s="165"/>
    </row>
    <row r="759" spans="9:9" s="163" customFormat="1" x14ac:dyDescent="0.2">
      <c r="I759" s="165"/>
    </row>
    <row r="760" spans="9:9" s="163" customFormat="1" x14ac:dyDescent="0.2">
      <c r="I760" s="165"/>
    </row>
    <row r="761" spans="9:9" s="163" customFormat="1" x14ac:dyDescent="0.2">
      <c r="I761" s="165"/>
    </row>
    <row r="762" spans="9:9" s="163" customFormat="1" x14ac:dyDescent="0.2">
      <c r="I762" s="165"/>
    </row>
    <row r="763" spans="9:9" s="163" customFormat="1" x14ac:dyDescent="0.2">
      <c r="I763" s="165"/>
    </row>
    <row r="764" spans="9:9" s="163" customFormat="1" x14ac:dyDescent="0.2">
      <c r="I764" s="165"/>
    </row>
    <row r="765" spans="9:9" s="163" customFormat="1" x14ac:dyDescent="0.2">
      <c r="I765" s="165"/>
    </row>
    <row r="766" spans="9:9" s="163" customFormat="1" x14ac:dyDescent="0.2">
      <c r="I766" s="165"/>
    </row>
    <row r="767" spans="9:9" s="163" customFormat="1" x14ac:dyDescent="0.2">
      <c r="I767" s="165"/>
    </row>
    <row r="768" spans="9:9" s="163" customFormat="1" x14ac:dyDescent="0.2">
      <c r="I768" s="165"/>
    </row>
    <row r="769" spans="9:9" s="163" customFormat="1" x14ac:dyDescent="0.2">
      <c r="I769" s="165"/>
    </row>
    <row r="770" spans="9:9" s="163" customFormat="1" x14ac:dyDescent="0.2">
      <c r="I770" s="165"/>
    </row>
    <row r="771" spans="9:9" s="163" customFormat="1" x14ac:dyDescent="0.2">
      <c r="I771" s="165"/>
    </row>
    <row r="772" spans="9:9" s="163" customFormat="1" x14ac:dyDescent="0.2">
      <c r="I772" s="165"/>
    </row>
    <row r="773" spans="9:9" s="163" customFormat="1" x14ac:dyDescent="0.2">
      <c r="I773" s="165"/>
    </row>
    <row r="774" spans="9:9" s="163" customFormat="1" x14ac:dyDescent="0.2">
      <c r="I774" s="165"/>
    </row>
    <row r="775" spans="9:9" s="163" customFormat="1" x14ac:dyDescent="0.2">
      <c r="I775" s="165"/>
    </row>
    <row r="776" spans="9:9" s="163" customFormat="1" x14ac:dyDescent="0.2">
      <c r="I776" s="165"/>
    </row>
    <row r="777" spans="9:9" s="163" customFormat="1" x14ac:dyDescent="0.2">
      <c r="I777" s="165"/>
    </row>
    <row r="778" spans="9:9" s="163" customFormat="1" x14ac:dyDescent="0.2">
      <c r="I778" s="165"/>
    </row>
    <row r="779" spans="9:9" s="163" customFormat="1" x14ac:dyDescent="0.2">
      <c r="I779" s="165"/>
    </row>
    <row r="780" spans="9:9" s="163" customFormat="1" x14ac:dyDescent="0.2">
      <c r="I780" s="165"/>
    </row>
    <row r="781" spans="9:9" s="163" customFormat="1" x14ac:dyDescent="0.2">
      <c r="I781" s="165"/>
    </row>
    <row r="782" spans="9:9" s="163" customFormat="1" x14ac:dyDescent="0.2">
      <c r="I782" s="165"/>
    </row>
    <row r="783" spans="9:9" s="163" customFormat="1" x14ac:dyDescent="0.2">
      <c r="I783" s="165"/>
    </row>
    <row r="784" spans="9:9" s="163" customFormat="1" x14ac:dyDescent="0.2">
      <c r="I784" s="165"/>
    </row>
    <row r="785" spans="9:9" s="163" customFormat="1" x14ac:dyDescent="0.2">
      <c r="I785" s="165"/>
    </row>
    <row r="786" spans="9:9" s="163" customFormat="1" x14ac:dyDescent="0.2">
      <c r="I786" s="165"/>
    </row>
    <row r="787" spans="9:9" s="163" customFormat="1" x14ac:dyDescent="0.2">
      <c r="I787" s="165"/>
    </row>
    <row r="788" spans="9:9" s="163" customFormat="1" x14ac:dyDescent="0.2">
      <c r="I788" s="165"/>
    </row>
    <row r="789" spans="9:9" s="163" customFormat="1" x14ac:dyDescent="0.2">
      <c r="I789" s="165"/>
    </row>
    <row r="790" spans="9:9" s="163" customFormat="1" x14ac:dyDescent="0.2">
      <c r="I790" s="165"/>
    </row>
    <row r="791" spans="9:9" s="163" customFormat="1" x14ac:dyDescent="0.2">
      <c r="I791" s="165"/>
    </row>
    <row r="792" spans="9:9" s="163" customFormat="1" x14ac:dyDescent="0.2">
      <c r="I792" s="165"/>
    </row>
    <row r="793" spans="9:9" s="163" customFormat="1" x14ac:dyDescent="0.2">
      <c r="I793" s="165"/>
    </row>
    <row r="794" spans="9:9" s="163" customFormat="1" x14ac:dyDescent="0.2">
      <c r="I794" s="165"/>
    </row>
    <row r="795" spans="9:9" s="163" customFormat="1" x14ac:dyDescent="0.2">
      <c r="I795" s="165"/>
    </row>
    <row r="796" spans="9:9" s="163" customFormat="1" x14ac:dyDescent="0.2">
      <c r="I796" s="165"/>
    </row>
    <row r="797" spans="9:9" s="163" customFormat="1" x14ac:dyDescent="0.2">
      <c r="I797" s="165"/>
    </row>
    <row r="798" spans="9:9" s="163" customFormat="1" x14ac:dyDescent="0.2">
      <c r="I798" s="165"/>
    </row>
    <row r="799" spans="9:9" s="163" customFormat="1" x14ac:dyDescent="0.2">
      <c r="I799" s="165"/>
    </row>
    <row r="800" spans="9:9" s="163" customFormat="1" x14ac:dyDescent="0.2">
      <c r="I800" s="165"/>
    </row>
    <row r="801" spans="9:9" s="163" customFormat="1" x14ac:dyDescent="0.2">
      <c r="I801" s="165"/>
    </row>
    <row r="802" spans="9:9" s="163" customFormat="1" x14ac:dyDescent="0.2">
      <c r="I802" s="165"/>
    </row>
    <row r="803" spans="9:9" s="163" customFormat="1" x14ac:dyDescent="0.2">
      <c r="I803" s="165"/>
    </row>
    <row r="804" spans="9:9" s="163" customFormat="1" x14ac:dyDescent="0.2">
      <c r="I804" s="165"/>
    </row>
    <row r="805" spans="9:9" s="163" customFormat="1" x14ac:dyDescent="0.2">
      <c r="I805" s="165"/>
    </row>
    <row r="806" spans="9:9" s="163" customFormat="1" x14ac:dyDescent="0.2">
      <c r="I806" s="165"/>
    </row>
    <row r="807" spans="9:9" s="163" customFormat="1" x14ac:dyDescent="0.2">
      <c r="I807" s="165"/>
    </row>
    <row r="808" spans="9:9" s="163" customFormat="1" x14ac:dyDescent="0.2">
      <c r="I808" s="165"/>
    </row>
    <row r="809" spans="9:9" s="163" customFormat="1" x14ac:dyDescent="0.2">
      <c r="I809" s="165"/>
    </row>
    <row r="810" spans="9:9" s="163" customFormat="1" x14ac:dyDescent="0.2">
      <c r="I810" s="165"/>
    </row>
    <row r="811" spans="9:9" s="163" customFormat="1" x14ac:dyDescent="0.2">
      <c r="I811" s="165"/>
    </row>
    <row r="812" spans="9:9" s="163" customFormat="1" x14ac:dyDescent="0.2">
      <c r="I812" s="165"/>
    </row>
    <row r="813" spans="9:9" s="163" customFormat="1" x14ac:dyDescent="0.2">
      <c r="I813" s="165"/>
    </row>
    <row r="814" spans="9:9" s="163" customFormat="1" x14ac:dyDescent="0.2">
      <c r="I814" s="165"/>
    </row>
    <row r="815" spans="9:9" s="163" customFormat="1" x14ac:dyDescent="0.2">
      <c r="I815" s="165"/>
    </row>
    <row r="816" spans="9:9" s="163" customFormat="1" x14ac:dyDescent="0.2">
      <c r="I816" s="165"/>
    </row>
    <row r="817" spans="9:9" s="163" customFormat="1" x14ac:dyDescent="0.2">
      <c r="I817" s="165"/>
    </row>
    <row r="818" spans="9:9" s="163" customFormat="1" x14ac:dyDescent="0.2">
      <c r="I818" s="165"/>
    </row>
    <row r="819" spans="9:9" s="163" customFormat="1" x14ac:dyDescent="0.2">
      <c r="I819" s="165"/>
    </row>
    <row r="820" spans="9:9" s="163" customFormat="1" x14ac:dyDescent="0.2">
      <c r="I820" s="165"/>
    </row>
    <row r="821" spans="9:9" s="163" customFormat="1" x14ac:dyDescent="0.2">
      <c r="I821" s="165"/>
    </row>
    <row r="822" spans="9:9" s="163" customFormat="1" x14ac:dyDescent="0.2">
      <c r="I822" s="165"/>
    </row>
    <row r="823" spans="9:9" s="163" customFormat="1" x14ac:dyDescent="0.2">
      <c r="I823" s="165"/>
    </row>
    <row r="824" spans="9:9" s="163" customFormat="1" x14ac:dyDescent="0.2">
      <c r="I824" s="165"/>
    </row>
    <row r="825" spans="9:9" s="163" customFormat="1" x14ac:dyDescent="0.2">
      <c r="I825" s="165"/>
    </row>
    <row r="826" spans="9:9" s="163" customFormat="1" x14ac:dyDescent="0.2">
      <c r="I826" s="165"/>
    </row>
    <row r="827" spans="9:9" s="163" customFormat="1" x14ac:dyDescent="0.2">
      <c r="I827" s="165"/>
    </row>
    <row r="828" spans="9:9" s="163" customFormat="1" x14ac:dyDescent="0.2">
      <c r="I828" s="165"/>
    </row>
    <row r="829" spans="9:9" s="163" customFormat="1" x14ac:dyDescent="0.2">
      <c r="I829" s="165"/>
    </row>
    <row r="830" spans="9:9" s="163" customFormat="1" x14ac:dyDescent="0.2">
      <c r="I830" s="165"/>
    </row>
    <row r="831" spans="9:9" s="163" customFormat="1" x14ac:dyDescent="0.2">
      <c r="I831" s="165"/>
    </row>
    <row r="832" spans="9:9" s="163" customFormat="1" x14ac:dyDescent="0.2">
      <c r="I832" s="165"/>
    </row>
    <row r="833" spans="9:9" s="163" customFormat="1" x14ac:dyDescent="0.2">
      <c r="I833" s="165"/>
    </row>
    <row r="834" spans="9:9" s="163" customFormat="1" x14ac:dyDescent="0.2">
      <c r="I834" s="165"/>
    </row>
    <row r="835" spans="9:9" s="163" customFormat="1" x14ac:dyDescent="0.2">
      <c r="I835" s="165"/>
    </row>
    <row r="836" spans="9:9" s="163" customFormat="1" x14ac:dyDescent="0.2">
      <c r="I836" s="165"/>
    </row>
    <row r="837" spans="9:9" s="163" customFormat="1" x14ac:dyDescent="0.2">
      <c r="I837" s="165"/>
    </row>
    <row r="838" spans="9:9" s="163" customFormat="1" x14ac:dyDescent="0.2">
      <c r="I838" s="165"/>
    </row>
    <row r="839" spans="9:9" s="163" customFormat="1" x14ac:dyDescent="0.2">
      <c r="I839" s="165"/>
    </row>
    <row r="840" spans="9:9" s="163" customFormat="1" x14ac:dyDescent="0.2">
      <c r="I840" s="165"/>
    </row>
    <row r="841" spans="9:9" s="163" customFormat="1" x14ac:dyDescent="0.2">
      <c r="I841" s="165"/>
    </row>
    <row r="842" spans="9:9" s="163" customFormat="1" x14ac:dyDescent="0.2">
      <c r="I842" s="165"/>
    </row>
    <row r="843" spans="9:9" s="163" customFormat="1" x14ac:dyDescent="0.2">
      <c r="I843" s="165"/>
    </row>
    <row r="844" spans="9:9" s="163" customFormat="1" x14ac:dyDescent="0.2">
      <c r="I844" s="165"/>
    </row>
    <row r="845" spans="9:9" s="163" customFormat="1" x14ac:dyDescent="0.2">
      <c r="I845" s="165"/>
    </row>
    <row r="846" spans="9:9" s="163" customFormat="1" x14ac:dyDescent="0.2">
      <c r="I846" s="165"/>
    </row>
    <row r="847" spans="9:9" s="163" customFormat="1" x14ac:dyDescent="0.2">
      <c r="I847" s="165"/>
    </row>
    <row r="848" spans="9:9" s="163" customFormat="1" x14ac:dyDescent="0.2">
      <c r="I848" s="165"/>
    </row>
    <row r="849" spans="9:9" s="163" customFormat="1" x14ac:dyDescent="0.2">
      <c r="I849" s="165"/>
    </row>
    <row r="850" spans="9:9" s="163" customFormat="1" x14ac:dyDescent="0.2">
      <c r="I850" s="165"/>
    </row>
    <row r="851" spans="9:9" s="163" customFormat="1" x14ac:dyDescent="0.2">
      <c r="I851" s="165"/>
    </row>
    <row r="852" spans="9:9" s="163" customFormat="1" x14ac:dyDescent="0.2">
      <c r="I852" s="165"/>
    </row>
    <row r="853" spans="9:9" s="163" customFormat="1" x14ac:dyDescent="0.2">
      <c r="I853" s="165"/>
    </row>
    <row r="854" spans="9:9" s="163" customFormat="1" x14ac:dyDescent="0.2">
      <c r="I854" s="165"/>
    </row>
    <row r="855" spans="9:9" s="163" customFormat="1" x14ac:dyDescent="0.2">
      <c r="I855" s="165"/>
    </row>
    <row r="856" spans="9:9" s="163" customFormat="1" x14ac:dyDescent="0.2">
      <c r="I856" s="165"/>
    </row>
    <row r="857" spans="9:9" s="163" customFormat="1" x14ac:dyDescent="0.2">
      <c r="I857" s="165"/>
    </row>
    <row r="858" spans="9:9" s="163" customFormat="1" x14ac:dyDescent="0.2">
      <c r="I858" s="165"/>
    </row>
    <row r="859" spans="9:9" s="163" customFormat="1" x14ac:dyDescent="0.2">
      <c r="I859" s="165"/>
    </row>
    <row r="860" spans="9:9" s="163" customFormat="1" x14ac:dyDescent="0.2">
      <c r="I860" s="165"/>
    </row>
    <row r="861" spans="9:9" s="163" customFormat="1" x14ac:dyDescent="0.2">
      <c r="I861" s="165"/>
    </row>
    <row r="862" spans="9:9" s="163" customFormat="1" x14ac:dyDescent="0.2">
      <c r="I862" s="165"/>
    </row>
    <row r="863" spans="9:9" s="163" customFormat="1" x14ac:dyDescent="0.2">
      <c r="I863" s="165"/>
    </row>
    <row r="864" spans="9:9" s="163" customFormat="1" x14ac:dyDescent="0.2">
      <c r="I864" s="165"/>
    </row>
    <row r="865" spans="9:9" s="163" customFormat="1" x14ac:dyDescent="0.2">
      <c r="I865" s="165"/>
    </row>
    <row r="866" spans="9:9" s="163" customFormat="1" x14ac:dyDescent="0.2">
      <c r="I866" s="165"/>
    </row>
    <row r="867" spans="9:9" s="163" customFormat="1" x14ac:dyDescent="0.2">
      <c r="I867" s="165"/>
    </row>
    <row r="868" spans="9:9" s="163" customFormat="1" x14ac:dyDescent="0.2">
      <c r="I868" s="165"/>
    </row>
    <row r="869" spans="9:9" s="163" customFormat="1" x14ac:dyDescent="0.2">
      <c r="I869" s="165"/>
    </row>
    <row r="870" spans="9:9" s="163" customFormat="1" x14ac:dyDescent="0.2">
      <c r="I870" s="165"/>
    </row>
    <row r="871" spans="9:9" s="163" customFormat="1" x14ac:dyDescent="0.2">
      <c r="I871" s="165"/>
    </row>
    <row r="872" spans="9:9" s="163" customFormat="1" x14ac:dyDescent="0.2">
      <c r="I872" s="165"/>
    </row>
    <row r="873" spans="9:9" s="163" customFormat="1" x14ac:dyDescent="0.2">
      <c r="I873" s="165"/>
    </row>
    <row r="874" spans="9:9" s="163" customFormat="1" x14ac:dyDescent="0.2">
      <c r="I874" s="165"/>
    </row>
    <row r="875" spans="9:9" s="163" customFormat="1" x14ac:dyDescent="0.2">
      <c r="I875" s="165"/>
    </row>
    <row r="876" spans="9:9" s="163" customFormat="1" x14ac:dyDescent="0.2">
      <c r="I876" s="165"/>
    </row>
    <row r="877" spans="9:9" s="163" customFormat="1" x14ac:dyDescent="0.2">
      <c r="I877" s="165"/>
    </row>
    <row r="878" spans="9:9" s="163" customFormat="1" x14ac:dyDescent="0.2">
      <c r="I878" s="165"/>
    </row>
    <row r="879" spans="9:9" s="163" customFormat="1" x14ac:dyDescent="0.2">
      <c r="I879" s="165"/>
    </row>
    <row r="880" spans="9:9" s="163" customFormat="1" x14ac:dyDescent="0.2">
      <c r="I880" s="165"/>
    </row>
    <row r="881" spans="9:9" s="163" customFormat="1" x14ac:dyDescent="0.2">
      <c r="I881" s="165"/>
    </row>
    <row r="882" spans="9:9" s="163" customFormat="1" x14ac:dyDescent="0.2">
      <c r="I882" s="165"/>
    </row>
    <row r="883" spans="9:9" s="163" customFormat="1" x14ac:dyDescent="0.2">
      <c r="I883" s="165"/>
    </row>
    <row r="884" spans="9:9" s="163" customFormat="1" x14ac:dyDescent="0.2">
      <c r="I884" s="165"/>
    </row>
    <row r="885" spans="9:9" s="163" customFormat="1" x14ac:dyDescent="0.2">
      <c r="I885" s="165"/>
    </row>
    <row r="886" spans="9:9" s="163" customFormat="1" x14ac:dyDescent="0.2">
      <c r="I886" s="165"/>
    </row>
    <row r="887" spans="9:9" s="163" customFormat="1" x14ac:dyDescent="0.2">
      <c r="I887" s="165"/>
    </row>
    <row r="888" spans="9:9" s="163" customFormat="1" x14ac:dyDescent="0.2">
      <c r="I888" s="165"/>
    </row>
    <row r="889" spans="9:9" s="163" customFormat="1" x14ac:dyDescent="0.2">
      <c r="I889" s="165"/>
    </row>
    <row r="890" spans="9:9" s="163" customFormat="1" x14ac:dyDescent="0.2">
      <c r="I890" s="165"/>
    </row>
    <row r="891" spans="9:9" s="163" customFormat="1" x14ac:dyDescent="0.2">
      <c r="I891" s="165"/>
    </row>
    <row r="892" spans="9:9" s="163" customFormat="1" x14ac:dyDescent="0.2">
      <c r="I892" s="165"/>
    </row>
    <row r="893" spans="9:9" s="163" customFormat="1" x14ac:dyDescent="0.2">
      <c r="I893" s="165"/>
    </row>
    <row r="894" spans="9:9" s="163" customFormat="1" x14ac:dyDescent="0.2">
      <c r="I894" s="165"/>
    </row>
    <row r="895" spans="9:9" s="163" customFormat="1" x14ac:dyDescent="0.2">
      <c r="I895" s="165"/>
    </row>
    <row r="896" spans="9:9" s="163" customFormat="1" x14ac:dyDescent="0.2">
      <c r="I896" s="165"/>
    </row>
    <row r="897" spans="9:9" s="163" customFormat="1" x14ac:dyDescent="0.2">
      <c r="I897" s="165"/>
    </row>
    <row r="898" spans="9:9" s="163" customFormat="1" x14ac:dyDescent="0.2">
      <c r="I898" s="165"/>
    </row>
    <row r="899" spans="9:9" s="163" customFormat="1" x14ac:dyDescent="0.2">
      <c r="I899" s="165"/>
    </row>
    <row r="900" spans="9:9" s="163" customFormat="1" x14ac:dyDescent="0.2">
      <c r="I900" s="165"/>
    </row>
    <row r="901" spans="9:9" s="163" customFormat="1" x14ac:dyDescent="0.2">
      <c r="I901" s="165"/>
    </row>
    <row r="902" spans="9:9" s="163" customFormat="1" x14ac:dyDescent="0.2">
      <c r="I902" s="165"/>
    </row>
    <row r="903" spans="9:9" s="163" customFormat="1" x14ac:dyDescent="0.2">
      <c r="I903" s="165"/>
    </row>
    <row r="904" spans="9:9" s="163" customFormat="1" x14ac:dyDescent="0.2">
      <c r="I904" s="165"/>
    </row>
    <row r="905" spans="9:9" s="163" customFormat="1" x14ac:dyDescent="0.2">
      <c r="I905" s="165"/>
    </row>
    <row r="906" spans="9:9" s="163" customFormat="1" x14ac:dyDescent="0.2">
      <c r="I906" s="165"/>
    </row>
    <row r="907" spans="9:9" s="163" customFormat="1" x14ac:dyDescent="0.2">
      <c r="I907" s="165"/>
    </row>
    <row r="908" spans="9:9" s="163" customFormat="1" x14ac:dyDescent="0.2">
      <c r="I908" s="165"/>
    </row>
    <row r="909" spans="9:9" s="163" customFormat="1" x14ac:dyDescent="0.2">
      <c r="I909" s="165"/>
    </row>
    <row r="910" spans="9:9" s="163" customFormat="1" x14ac:dyDescent="0.2">
      <c r="I910" s="165"/>
    </row>
    <row r="911" spans="9:9" s="163" customFormat="1" x14ac:dyDescent="0.2">
      <c r="I911" s="165"/>
    </row>
    <row r="912" spans="9:9" s="163" customFormat="1" x14ac:dyDescent="0.2">
      <c r="I912" s="165"/>
    </row>
    <row r="913" spans="9:49" s="163" customFormat="1" x14ac:dyDescent="0.2">
      <c r="I913" s="165"/>
    </row>
    <row r="914" spans="9:49" s="163" customFormat="1" x14ac:dyDescent="0.2">
      <c r="I914" s="165"/>
      <c r="AU914" s="164"/>
      <c r="AV914" s="164"/>
      <c r="AW914" s="164"/>
    </row>
    <row r="915" spans="9:49" s="164" customFormat="1" x14ac:dyDescent="0.2">
      <c r="I915" s="165"/>
      <c r="O915" s="163"/>
      <c r="P915" s="163"/>
      <c r="Q915" s="163"/>
      <c r="R915" s="163"/>
      <c r="S915" s="163"/>
      <c r="T915" s="163"/>
      <c r="U915" s="163"/>
      <c r="V915" s="163"/>
      <c r="W915" s="163"/>
      <c r="X915" s="163"/>
      <c r="Y915" s="163"/>
      <c r="Z915" s="163"/>
      <c r="AA915" s="163"/>
      <c r="AB915" s="163"/>
      <c r="AC915" s="163"/>
      <c r="AD915" s="163"/>
      <c r="AE915" s="163"/>
      <c r="AF915" s="163"/>
      <c r="AG915" s="163"/>
      <c r="AH915" s="163"/>
      <c r="AI915" s="163"/>
      <c r="AJ915" s="163"/>
      <c r="AK915" s="163"/>
      <c r="AL915" s="163"/>
      <c r="AM915" s="163"/>
      <c r="AN915" s="163"/>
      <c r="AO915" s="163"/>
      <c r="AP915" s="163"/>
      <c r="AQ915" s="163"/>
      <c r="AR915" s="163"/>
      <c r="AS915" s="163"/>
      <c r="AT915" s="163"/>
    </row>
    <row r="916" spans="9:49" s="164" customFormat="1" x14ac:dyDescent="0.2">
      <c r="I916" s="165"/>
      <c r="O916" s="163"/>
      <c r="P916" s="163"/>
      <c r="Q916" s="163"/>
      <c r="R916" s="163"/>
      <c r="S916" s="163"/>
      <c r="T916" s="163"/>
      <c r="U916" s="163"/>
      <c r="V916" s="163"/>
      <c r="W916" s="163"/>
      <c r="X916" s="163"/>
      <c r="Y916" s="163"/>
      <c r="Z916" s="163"/>
      <c r="AA916" s="163"/>
      <c r="AB916" s="163"/>
      <c r="AC916" s="163"/>
      <c r="AD916" s="163"/>
      <c r="AE916" s="163"/>
      <c r="AF916" s="163"/>
      <c r="AG916" s="163"/>
      <c r="AH916" s="163"/>
      <c r="AI916" s="163"/>
      <c r="AJ916" s="163"/>
      <c r="AK916" s="163"/>
      <c r="AL916" s="163"/>
      <c r="AM916" s="163"/>
      <c r="AN916" s="163"/>
      <c r="AO916" s="163"/>
      <c r="AP916" s="163"/>
      <c r="AQ916" s="163"/>
      <c r="AR916" s="163"/>
      <c r="AS916" s="163"/>
      <c r="AT916" s="163"/>
    </row>
    <row r="917" spans="9:49" s="164" customFormat="1" x14ac:dyDescent="0.2">
      <c r="I917" s="165"/>
      <c r="O917" s="163"/>
      <c r="P917" s="163"/>
      <c r="Q917" s="163"/>
      <c r="R917" s="163"/>
      <c r="S917" s="163"/>
      <c r="T917" s="163"/>
      <c r="U917" s="163"/>
      <c r="V917" s="163"/>
      <c r="W917" s="163"/>
      <c r="X917" s="163"/>
      <c r="Y917" s="163"/>
      <c r="Z917" s="163"/>
      <c r="AA917" s="163"/>
      <c r="AB917" s="163"/>
      <c r="AC917" s="163"/>
      <c r="AD917" s="163"/>
      <c r="AE917" s="163"/>
      <c r="AF917" s="163"/>
      <c r="AG917" s="163"/>
      <c r="AH917" s="163"/>
      <c r="AI917" s="163"/>
      <c r="AJ917" s="163"/>
      <c r="AK917" s="163"/>
      <c r="AL917" s="163"/>
      <c r="AM917" s="163"/>
      <c r="AN917" s="163"/>
      <c r="AO917" s="163"/>
      <c r="AP917" s="163"/>
      <c r="AQ917" s="163"/>
      <c r="AR917" s="163"/>
      <c r="AS917" s="163"/>
      <c r="AT917" s="163"/>
    </row>
    <row r="918" spans="9:49" s="164" customFormat="1" x14ac:dyDescent="0.2">
      <c r="I918" s="165"/>
      <c r="O918" s="163"/>
      <c r="P918" s="163"/>
      <c r="Q918" s="163"/>
      <c r="R918" s="163"/>
      <c r="S918" s="163"/>
      <c r="T918" s="163"/>
      <c r="U918" s="163"/>
      <c r="V918" s="163"/>
      <c r="W918" s="163"/>
      <c r="X918" s="163"/>
      <c r="Y918" s="163"/>
      <c r="Z918" s="163"/>
      <c r="AA918" s="163"/>
      <c r="AB918" s="163"/>
      <c r="AC918" s="163"/>
      <c r="AD918" s="163"/>
      <c r="AE918" s="163"/>
      <c r="AF918" s="163"/>
      <c r="AG918" s="163"/>
      <c r="AH918" s="163"/>
      <c r="AI918" s="163"/>
      <c r="AJ918" s="163"/>
      <c r="AK918" s="163"/>
      <c r="AL918" s="163"/>
      <c r="AM918" s="163"/>
      <c r="AN918" s="163"/>
      <c r="AO918" s="163"/>
      <c r="AP918" s="163"/>
      <c r="AQ918" s="163"/>
      <c r="AR918" s="163"/>
      <c r="AS918" s="163"/>
      <c r="AT918" s="163"/>
    </row>
    <row r="919" spans="9:49" s="164" customFormat="1" x14ac:dyDescent="0.2">
      <c r="I919" s="165"/>
      <c r="O919" s="163"/>
      <c r="P919" s="163"/>
      <c r="Q919" s="163"/>
      <c r="R919" s="163"/>
      <c r="S919" s="163"/>
      <c r="T919" s="163"/>
      <c r="U919" s="163"/>
      <c r="V919" s="163"/>
      <c r="W919" s="163"/>
      <c r="X919" s="163"/>
      <c r="Y919" s="163"/>
      <c r="Z919" s="163"/>
      <c r="AA919" s="163"/>
      <c r="AB919" s="163"/>
      <c r="AC919" s="163"/>
      <c r="AD919" s="163"/>
      <c r="AE919" s="163"/>
      <c r="AF919" s="163"/>
      <c r="AG919" s="163"/>
      <c r="AH919" s="163"/>
      <c r="AI919" s="163"/>
      <c r="AJ919" s="163"/>
      <c r="AK919" s="163"/>
      <c r="AL919" s="163"/>
      <c r="AM919" s="163"/>
      <c r="AN919" s="163"/>
      <c r="AO919" s="163"/>
      <c r="AP919" s="163"/>
      <c r="AQ919" s="163"/>
      <c r="AR919" s="163"/>
      <c r="AS919" s="163"/>
      <c r="AT919" s="163"/>
    </row>
    <row r="920" spans="9:49" s="164" customFormat="1" x14ac:dyDescent="0.2">
      <c r="I920" s="165"/>
      <c r="O920" s="163"/>
      <c r="P920" s="163"/>
      <c r="Q920" s="163"/>
      <c r="R920" s="163"/>
      <c r="S920" s="163"/>
      <c r="T920" s="163"/>
      <c r="U920" s="163"/>
      <c r="V920" s="163"/>
      <c r="W920" s="163"/>
      <c r="X920" s="163"/>
      <c r="Y920" s="163"/>
      <c r="Z920" s="163"/>
      <c r="AA920" s="163"/>
      <c r="AB920" s="163"/>
      <c r="AC920" s="163"/>
      <c r="AD920" s="163"/>
      <c r="AE920" s="163"/>
      <c r="AF920" s="163"/>
      <c r="AG920" s="163"/>
      <c r="AH920" s="163"/>
      <c r="AI920" s="163"/>
      <c r="AJ920" s="163"/>
      <c r="AK920" s="163"/>
      <c r="AL920" s="163"/>
      <c r="AM920" s="163"/>
      <c r="AN920" s="163"/>
      <c r="AO920" s="163"/>
      <c r="AP920" s="163"/>
      <c r="AQ920" s="163"/>
      <c r="AR920" s="163"/>
      <c r="AS920" s="163"/>
      <c r="AT920" s="163"/>
    </row>
    <row r="921" spans="9:49" s="164" customFormat="1" x14ac:dyDescent="0.2">
      <c r="I921" s="165"/>
      <c r="O921" s="163"/>
      <c r="P921" s="163"/>
      <c r="Q921" s="163"/>
      <c r="R921" s="163"/>
      <c r="S921" s="163"/>
      <c r="T921" s="163"/>
      <c r="U921" s="163"/>
      <c r="V921" s="163"/>
      <c r="W921" s="163"/>
      <c r="X921" s="163"/>
      <c r="Y921" s="163"/>
      <c r="Z921" s="163"/>
      <c r="AA921" s="163"/>
      <c r="AB921" s="163"/>
      <c r="AC921" s="163"/>
      <c r="AD921" s="163"/>
      <c r="AE921" s="163"/>
      <c r="AF921" s="163"/>
      <c r="AG921" s="163"/>
      <c r="AH921" s="163"/>
      <c r="AI921" s="163"/>
      <c r="AJ921" s="163"/>
      <c r="AK921" s="163"/>
      <c r="AL921" s="163"/>
      <c r="AM921" s="163"/>
      <c r="AN921" s="163"/>
      <c r="AO921" s="163"/>
      <c r="AP921" s="163"/>
      <c r="AQ921" s="163"/>
      <c r="AR921" s="163"/>
      <c r="AS921" s="163"/>
      <c r="AT921" s="163"/>
    </row>
    <row r="922" spans="9:49" s="164" customFormat="1" x14ac:dyDescent="0.2">
      <c r="I922" s="165"/>
      <c r="O922" s="163"/>
      <c r="P922" s="163"/>
      <c r="Q922" s="163"/>
      <c r="R922" s="163"/>
      <c r="S922" s="163"/>
      <c r="T922" s="163"/>
      <c r="U922" s="163"/>
      <c r="V922" s="163"/>
      <c r="W922" s="163"/>
      <c r="X922" s="163"/>
      <c r="Y922" s="163"/>
      <c r="Z922" s="163"/>
      <c r="AA922" s="163"/>
      <c r="AB922" s="163"/>
      <c r="AC922" s="163"/>
      <c r="AD922" s="163"/>
      <c r="AE922" s="163"/>
      <c r="AF922" s="163"/>
      <c r="AG922" s="163"/>
      <c r="AH922" s="163"/>
      <c r="AI922" s="163"/>
      <c r="AJ922" s="163"/>
      <c r="AK922" s="163"/>
      <c r="AL922" s="163"/>
      <c r="AM922" s="163"/>
      <c r="AN922" s="163"/>
      <c r="AO922" s="163"/>
      <c r="AP922" s="163"/>
      <c r="AQ922" s="163"/>
      <c r="AR922" s="163"/>
      <c r="AS922" s="163"/>
      <c r="AT922" s="163"/>
    </row>
    <row r="923" spans="9:49" s="164" customFormat="1" x14ac:dyDescent="0.2">
      <c r="I923" s="165"/>
      <c r="O923" s="163"/>
      <c r="P923" s="163"/>
      <c r="Q923" s="163"/>
      <c r="R923" s="163"/>
      <c r="S923" s="163"/>
      <c r="T923" s="163"/>
      <c r="U923" s="163"/>
      <c r="V923" s="163"/>
      <c r="W923" s="163"/>
      <c r="X923" s="163"/>
      <c r="Y923" s="163"/>
      <c r="Z923" s="163"/>
      <c r="AA923" s="163"/>
      <c r="AB923" s="163"/>
      <c r="AC923" s="163"/>
      <c r="AD923" s="163"/>
      <c r="AE923" s="163"/>
      <c r="AF923" s="163"/>
      <c r="AG923" s="163"/>
      <c r="AH923" s="163"/>
      <c r="AI923" s="163"/>
      <c r="AJ923" s="163"/>
      <c r="AK923" s="163"/>
      <c r="AL923" s="163"/>
      <c r="AM923" s="163"/>
      <c r="AN923" s="163"/>
      <c r="AO923" s="163"/>
      <c r="AP923" s="163"/>
      <c r="AQ923" s="163"/>
      <c r="AR923" s="163"/>
      <c r="AS923" s="163"/>
      <c r="AT923" s="163"/>
    </row>
    <row r="924" spans="9:49" s="164" customFormat="1" x14ac:dyDescent="0.2">
      <c r="I924" s="165"/>
      <c r="O924" s="163"/>
      <c r="P924" s="163"/>
      <c r="Q924" s="163"/>
      <c r="R924" s="163"/>
      <c r="S924" s="163"/>
      <c r="T924" s="163"/>
      <c r="U924" s="163"/>
      <c r="V924" s="163"/>
      <c r="W924" s="163"/>
      <c r="X924" s="163"/>
      <c r="Y924" s="163"/>
      <c r="Z924" s="163"/>
      <c r="AA924" s="163"/>
      <c r="AB924" s="163"/>
      <c r="AC924" s="163"/>
      <c r="AD924" s="163"/>
      <c r="AE924" s="163"/>
      <c r="AF924" s="163"/>
      <c r="AG924" s="163"/>
      <c r="AH924" s="163"/>
      <c r="AI924" s="163"/>
      <c r="AJ924" s="163"/>
      <c r="AK924" s="163"/>
      <c r="AL924" s="163"/>
      <c r="AM924" s="163"/>
      <c r="AN924" s="163"/>
      <c r="AO924" s="163"/>
      <c r="AP924" s="163"/>
      <c r="AQ924" s="163"/>
      <c r="AR924" s="163"/>
      <c r="AS924" s="163"/>
      <c r="AT924" s="163"/>
    </row>
    <row r="925" spans="9:49" s="164" customFormat="1" x14ac:dyDescent="0.2">
      <c r="I925" s="165"/>
      <c r="O925" s="163"/>
      <c r="P925" s="163"/>
      <c r="Q925" s="163"/>
      <c r="R925" s="163"/>
      <c r="S925" s="163"/>
      <c r="T925" s="163"/>
      <c r="U925" s="163"/>
      <c r="V925" s="163"/>
      <c r="W925" s="163"/>
      <c r="X925" s="163"/>
      <c r="Y925" s="163"/>
      <c r="Z925" s="163"/>
      <c r="AA925" s="163"/>
      <c r="AB925" s="163"/>
      <c r="AC925" s="163"/>
      <c r="AD925" s="163"/>
      <c r="AE925" s="163"/>
      <c r="AF925" s="163"/>
      <c r="AG925" s="163"/>
      <c r="AH925" s="163"/>
      <c r="AI925" s="163"/>
      <c r="AJ925" s="163"/>
      <c r="AK925" s="163"/>
      <c r="AL925" s="163"/>
      <c r="AM925" s="163"/>
      <c r="AN925" s="163"/>
      <c r="AO925" s="163"/>
      <c r="AP925" s="163"/>
      <c r="AQ925" s="163"/>
      <c r="AR925" s="163"/>
      <c r="AS925" s="163"/>
      <c r="AT925" s="163"/>
    </row>
    <row r="926" spans="9:49" s="164" customFormat="1" x14ac:dyDescent="0.2">
      <c r="I926" s="165"/>
      <c r="O926" s="163"/>
      <c r="P926" s="163"/>
      <c r="Q926" s="163"/>
      <c r="R926" s="163"/>
      <c r="S926" s="163"/>
      <c r="T926" s="163"/>
      <c r="U926" s="163"/>
      <c r="V926" s="163"/>
      <c r="W926" s="163"/>
      <c r="X926" s="163"/>
      <c r="Y926" s="163"/>
      <c r="Z926" s="163"/>
      <c r="AA926" s="163"/>
      <c r="AB926" s="163"/>
      <c r="AC926" s="163"/>
      <c r="AD926" s="163"/>
      <c r="AE926" s="163"/>
      <c r="AF926" s="163"/>
      <c r="AG926" s="163"/>
      <c r="AH926" s="163"/>
      <c r="AI926" s="163"/>
      <c r="AJ926" s="163"/>
      <c r="AK926" s="163"/>
      <c r="AL926" s="163"/>
      <c r="AM926" s="163"/>
      <c r="AN926" s="163"/>
      <c r="AO926" s="163"/>
      <c r="AP926" s="163"/>
      <c r="AQ926" s="163"/>
      <c r="AR926" s="163"/>
      <c r="AS926" s="163"/>
      <c r="AT926" s="163"/>
    </row>
    <row r="927" spans="9:49" s="164" customFormat="1" x14ac:dyDescent="0.2">
      <c r="I927" s="165"/>
      <c r="O927" s="163"/>
      <c r="P927" s="163"/>
      <c r="Q927" s="163"/>
      <c r="R927" s="163"/>
      <c r="S927" s="163"/>
      <c r="T927" s="163"/>
      <c r="U927" s="163"/>
      <c r="V927" s="163"/>
      <c r="W927" s="163"/>
      <c r="X927" s="163"/>
      <c r="Y927" s="163"/>
      <c r="Z927" s="163"/>
      <c r="AA927" s="163"/>
      <c r="AB927" s="163"/>
      <c r="AC927" s="163"/>
      <c r="AD927" s="163"/>
      <c r="AE927" s="163"/>
      <c r="AF927" s="163"/>
      <c r="AG927" s="163"/>
      <c r="AH927" s="163"/>
      <c r="AI927" s="163"/>
      <c r="AJ927" s="163"/>
      <c r="AK927" s="163"/>
      <c r="AL927" s="163"/>
      <c r="AM927" s="163"/>
      <c r="AN927" s="163"/>
      <c r="AO927" s="163"/>
      <c r="AP927" s="163"/>
      <c r="AQ927" s="163"/>
      <c r="AR927" s="163"/>
      <c r="AS927" s="163"/>
      <c r="AT927" s="163"/>
    </row>
    <row r="928" spans="9:49" s="164" customFormat="1" x14ac:dyDescent="0.2">
      <c r="I928" s="165"/>
      <c r="O928" s="163"/>
      <c r="P928" s="163"/>
      <c r="Q928" s="163"/>
      <c r="R928" s="163"/>
      <c r="S928" s="163"/>
      <c r="T928" s="163"/>
      <c r="U928" s="163"/>
      <c r="V928" s="163"/>
      <c r="W928" s="163"/>
      <c r="X928" s="163"/>
      <c r="Y928" s="163"/>
      <c r="Z928" s="163"/>
      <c r="AA928" s="163"/>
      <c r="AB928" s="163"/>
      <c r="AC928" s="163"/>
      <c r="AD928" s="163"/>
      <c r="AE928" s="163"/>
      <c r="AF928" s="163"/>
      <c r="AG928" s="163"/>
      <c r="AH928" s="163"/>
      <c r="AI928" s="163"/>
      <c r="AJ928" s="163"/>
      <c r="AK928" s="163"/>
      <c r="AL928" s="163"/>
      <c r="AM928" s="163"/>
      <c r="AN928" s="163"/>
      <c r="AO928" s="163"/>
      <c r="AP928" s="163"/>
      <c r="AQ928" s="163"/>
      <c r="AR928" s="163"/>
      <c r="AS928" s="163"/>
      <c r="AT928" s="163"/>
    </row>
    <row r="929" spans="9:46" s="164" customFormat="1" x14ac:dyDescent="0.2">
      <c r="I929" s="165"/>
      <c r="O929" s="163"/>
      <c r="P929" s="163"/>
      <c r="Q929" s="163"/>
      <c r="R929" s="163"/>
      <c r="S929" s="163"/>
      <c r="T929" s="163"/>
      <c r="U929" s="163"/>
      <c r="V929" s="163"/>
      <c r="W929" s="163"/>
      <c r="X929" s="163"/>
      <c r="Y929" s="163"/>
      <c r="Z929" s="163"/>
      <c r="AA929" s="163"/>
      <c r="AB929" s="163"/>
      <c r="AC929" s="163"/>
      <c r="AD929" s="163"/>
      <c r="AE929" s="163"/>
      <c r="AF929" s="163"/>
      <c r="AG929" s="163"/>
      <c r="AH929" s="163"/>
      <c r="AI929" s="163"/>
      <c r="AJ929" s="163"/>
      <c r="AK929" s="163"/>
      <c r="AL929" s="163"/>
      <c r="AM929" s="163"/>
      <c r="AN929" s="163"/>
      <c r="AO929" s="163"/>
      <c r="AP929" s="163"/>
      <c r="AQ929" s="163"/>
      <c r="AR929" s="163"/>
      <c r="AS929" s="163"/>
      <c r="AT929" s="163"/>
    </row>
    <row r="930" spans="9:46" s="164" customFormat="1" x14ac:dyDescent="0.2">
      <c r="I930" s="165"/>
      <c r="O930" s="163"/>
      <c r="P930" s="163"/>
      <c r="Q930" s="163"/>
      <c r="R930" s="163"/>
      <c r="S930" s="163"/>
      <c r="T930" s="163"/>
      <c r="U930" s="163"/>
      <c r="V930" s="163"/>
      <c r="W930" s="163"/>
      <c r="X930" s="163"/>
      <c r="Y930" s="163"/>
      <c r="Z930" s="163"/>
      <c r="AA930" s="163"/>
      <c r="AB930" s="163"/>
      <c r="AC930" s="163"/>
      <c r="AD930" s="163"/>
      <c r="AE930" s="163"/>
      <c r="AF930" s="163"/>
      <c r="AG930" s="163"/>
      <c r="AH930" s="163"/>
      <c r="AI930" s="163"/>
      <c r="AJ930" s="163"/>
      <c r="AK930" s="163"/>
      <c r="AL930" s="163"/>
      <c r="AM930" s="163"/>
      <c r="AN930" s="163"/>
      <c r="AO930" s="163"/>
      <c r="AP930" s="163"/>
      <c r="AQ930" s="163"/>
      <c r="AR930" s="163"/>
      <c r="AS930" s="163"/>
      <c r="AT930" s="163"/>
    </row>
    <row r="931" spans="9:46" s="164" customFormat="1" x14ac:dyDescent="0.2">
      <c r="I931" s="165"/>
      <c r="O931" s="163"/>
      <c r="P931" s="163"/>
      <c r="Q931" s="163"/>
      <c r="R931" s="163"/>
      <c r="S931" s="163"/>
      <c r="T931" s="163"/>
      <c r="U931" s="163"/>
      <c r="V931" s="163"/>
      <c r="W931" s="163"/>
      <c r="X931" s="163"/>
      <c r="Y931" s="163"/>
      <c r="Z931" s="163"/>
      <c r="AA931" s="163"/>
      <c r="AB931" s="163"/>
      <c r="AC931" s="163"/>
      <c r="AD931" s="163"/>
      <c r="AE931" s="163"/>
      <c r="AF931" s="163"/>
      <c r="AG931" s="163"/>
      <c r="AH931" s="163"/>
      <c r="AI931" s="163"/>
      <c r="AJ931" s="163"/>
      <c r="AK931" s="163"/>
      <c r="AL931" s="163"/>
      <c r="AM931" s="163"/>
      <c r="AN931" s="163"/>
      <c r="AO931" s="163"/>
      <c r="AP931" s="163"/>
      <c r="AQ931" s="163"/>
      <c r="AR931" s="163"/>
      <c r="AS931" s="163"/>
      <c r="AT931" s="163"/>
    </row>
    <row r="932" spans="9:46" s="164" customFormat="1" x14ac:dyDescent="0.2">
      <c r="I932" s="165"/>
      <c r="O932" s="163"/>
      <c r="P932" s="163"/>
      <c r="Q932" s="163"/>
      <c r="R932" s="163"/>
      <c r="S932" s="163"/>
      <c r="T932" s="163"/>
      <c r="U932" s="163"/>
      <c r="V932" s="163"/>
      <c r="W932" s="163"/>
      <c r="X932" s="163"/>
      <c r="Y932" s="163"/>
      <c r="Z932" s="163"/>
      <c r="AA932" s="163"/>
      <c r="AB932" s="163"/>
      <c r="AC932" s="163"/>
      <c r="AD932" s="163"/>
      <c r="AE932" s="163"/>
      <c r="AF932" s="163"/>
      <c r="AG932" s="163"/>
      <c r="AH932" s="163"/>
      <c r="AI932" s="163"/>
      <c r="AJ932" s="163"/>
      <c r="AK932" s="163"/>
      <c r="AL932" s="163"/>
      <c r="AM932" s="163"/>
      <c r="AN932" s="163"/>
      <c r="AO932" s="163"/>
      <c r="AP932" s="163"/>
      <c r="AQ932" s="163"/>
      <c r="AR932" s="163"/>
      <c r="AS932" s="163"/>
      <c r="AT932" s="163"/>
    </row>
    <row r="933" spans="9:46" s="164" customFormat="1" x14ac:dyDescent="0.2">
      <c r="I933" s="165"/>
      <c r="O933" s="163"/>
      <c r="P933" s="163"/>
      <c r="Q933" s="163"/>
      <c r="R933" s="163"/>
      <c r="S933" s="163"/>
      <c r="T933" s="163"/>
      <c r="U933" s="163"/>
      <c r="V933" s="163"/>
      <c r="W933" s="163"/>
      <c r="X933" s="163"/>
      <c r="Y933" s="163"/>
      <c r="Z933" s="163"/>
      <c r="AA933" s="163"/>
      <c r="AB933" s="163"/>
      <c r="AC933" s="163"/>
      <c r="AD933" s="163"/>
      <c r="AE933" s="163"/>
      <c r="AF933" s="163"/>
      <c r="AG933" s="163"/>
      <c r="AH933" s="163"/>
      <c r="AI933" s="163"/>
      <c r="AJ933" s="163"/>
      <c r="AK933" s="163"/>
      <c r="AL933" s="163"/>
      <c r="AM933" s="163"/>
      <c r="AN933" s="163"/>
      <c r="AO933" s="163"/>
      <c r="AP933" s="163"/>
      <c r="AQ933" s="163"/>
      <c r="AR933" s="163"/>
      <c r="AS933" s="163"/>
      <c r="AT933" s="163"/>
    </row>
    <row r="934" spans="9:46" s="164" customFormat="1" x14ac:dyDescent="0.2">
      <c r="I934" s="165"/>
      <c r="O934" s="163"/>
      <c r="P934" s="163"/>
      <c r="Q934" s="163"/>
      <c r="R934" s="163"/>
      <c r="S934" s="163"/>
      <c r="T934" s="163"/>
      <c r="U934" s="163"/>
      <c r="V934" s="163"/>
      <c r="W934" s="163"/>
      <c r="X934" s="163"/>
      <c r="Y934" s="163"/>
      <c r="Z934" s="163"/>
      <c r="AA934" s="163"/>
      <c r="AB934" s="163"/>
      <c r="AC934" s="163"/>
      <c r="AD934" s="163"/>
      <c r="AE934" s="163"/>
      <c r="AF934" s="163"/>
      <c r="AG934" s="163"/>
      <c r="AH934" s="163"/>
      <c r="AI934" s="163"/>
      <c r="AJ934" s="163"/>
      <c r="AK934" s="163"/>
      <c r="AL934" s="163"/>
      <c r="AM934" s="163"/>
      <c r="AN934" s="163"/>
      <c r="AO934" s="163"/>
      <c r="AP934" s="163"/>
      <c r="AQ934" s="163"/>
      <c r="AR934" s="163"/>
      <c r="AS934" s="163"/>
      <c r="AT934" s="163"/>
    </row>
    <row r="935" spans="9:46" s="164" customFormat="1" x14ac:dyDescent="0.2">
      <c r="I935" s="165"/>
      <c r="O935" s="163"/>
      <c r="P935" s="163"/>
      <c r="Q935" s="163"/>
      <c r="R935" s="163"/>
      <c r="S935" s="163"/>
      <c r="T935" s="163"/>
      <c r="U935" s="163"/>
      <c r="V935" s="163"/>
      <c r="W935" s="163"/>
      <c r="X935" s="163"/>
      <c r="Y935" s="163"/>
      <c r="Z935" s="163"/>
      <c r="AA935" s="163"/>
      <c r="AB935" s="163"/>
      <c r="AC935" s="163"/>
      <c r="AD935" s="163"/>
      <c r="AE935" s="163"/>
      <c r="AF935" s="163"/>
      <c r="AG935" s="163"/>
      <c r="AH935" s="163"/>
      <c r="AI935" s="163"/>
      <c r="AJ935" s="163"/>
      <c r="AK935" s="163"/>
      <c r="AL935" s="163"/>
      <c r="AM935" s="163"/>
      <c r="AN935" s="163"/>
      <c r="AO935" s="163"/>
      <c r="AP935" s="163"/>
      <c r="AQ935" s="163"/>
      <c r="AR935" s="163"/>
      <c r="AS935" s="163"/>
      <c r="AT935" s="163"/>
    </row>
    <row r="936" spans="9:46" s="164" customFormat="1" x14ac:dyDescent="0.2">
      <c r="I936" s="165"/>
      <c r="O936" s="163"/>
      <c r="P936" s="163"/>
      <c r="Q936" s="163"/>
      <c r="R936" s="163"/>
      <c r="S936" s="163"/>
      <c r="T936" s="163"/>
      <c r="U936" s="163"/>
      <c r="V936" s="163"/>
      <c r="W936" s="163"/>
      <c r="X936" s="163"/>
      <c r="Y936" s="163"/>
      <c r="Z936" s="163"/>
      <c r="AA936" s="163"/>
      <c r="AB936" s="163"/>
      <c r="AC936" s="163"/>
      <c r="AD936" s="163"/>
      <c r="AE936" s="163"/>
      <c r="AF936" s="163"/>
      <c r="AG936" s="163"/>
      <c r="AH936" s="163"/>
      <c r="AI936" s="163"/>
      <c r="AJ936" s="163"/>
      <c r="AK936" s="163"/>
      <c r="AL936" s="163"/>
      <c r="AM936" s="163"/>
      <c r="AN936" s="163"/>
      <c r="AO936" s="163"/>
      <c r="AP936" s="163"/>
      <c r="AQ936" s="163"/>
      <c r="AR936" s="163"/>
      <c r="AS936" s="163"/>
      <c r="AT936" s="163"/>
    </row>
    <row r="937" spans="9:46" s="164" customFormat="1" x14ac:dyDescent="0.2">
      <c r="I937" s="165"/>
      <c r="O937" s="163"/>
      <c r="P937" s="163"/>
      <c r="Q937" s="163"/>
      <c r="R937" s="163"/>
      <c r="S937" s="163"/>
      <c r="T937" s="163"/>
      <c r="U937" s="163"/>
      <c r="V937" s="163"/>
      <c r="W937" s="163"/>
      <c r="X937" s="163"/>
      <c r="Y937" s="163"/>
      <c r="Z937" s="163"/>
      <c r="AA937" s="163"/>
      <c r="AB937" s="163"/>
      <c r="AC937" s="163"/>
      <c r="AD937" s="163"/>
      <c r="AE937" s="163"/>
      <c r="AF937" s="163"/>
      <c r="AG937" s="163"/>
      <c r="AH937" s="163"/>
      <c r="AI937" s="163"/>
      <c r="AJ937" s="163"/>
      <c r="AK937" s="163"/>
      <c r="AL937" s="163"/>
      <c r="AM937" s="163"/>
      <c r="AN937" s="163"/>
      <c r="AO937" s="163"/>
      <c r="AP937" s="163"/>
      <c r="AQ937" s="163"/>
      <c r="AR937" s="163"/>
      <c r="AS937" s="163"/>
      <c r="AT937" s="163"/>
    </row>
    <row r="938" spans="9:46" s="164" customFormat="1" x14ac:dyDescent="0.2">
      <c r="I938" s="165"/>
      <c r="O938" s="163"/>
      <c r="P938" s="163"/>
      <c r="Q938" s="163"/>
      <c r="R938" s="163"/>
      <c r="S938" s="163"/>
      <c r="T938" s="163"/>
      <c r="U938" s="163"/>
      <c r="V938" s="163"/>
      <c r="W938" s="163"/>
      <c r="X938" s="163"/>
      <c r="Y938" s="163"/>
      <c r="Z938" s="163"/>
      <c r="AA938" s="163"/>
      <c r="AB938" s="163"/>
      <c r="AC938" s="163"/>
      <c r="AD938" s="163"/>
      <c r="AE938" s="163"/>
      <c r="AF938" s="163"/>
      <c r="AG938" s="163"/>
      <c r="AH938" s="163"/>
      <c r="AI938" s="163"/>
      <c r="AJ938" s="163"/>
      <c r="AK938" s="163"/>
      <c r="AL938" s="163"/>
      <c r="AM938" s="163"/>
      <c r="AN938" s="163"/>
      <c r="AO938" s="163"/>
      <c r="AP938" s="163"/>
      <c r="AQ938" s="163"/>
      <c r="AR938" s="163"/>
      <c r="AS938" s="163"/>
      <c r="AT938" s="163"/>
    </row>
    <row r="939" spans="9:46" s="164" customFormat="1" x14ac:dyDescent="0.2">
      <c r="I939" s="165"/>
      <c r="O939" s="163"/>
      <c r="P939" s="163"/>
      <c r="Q939" s="163"/>
      <c r="R939" s="163"/>
      <c r="S939" s="163"/>
      <c r="T939" s="163"/>
      <c r="U939" s="163"/>
      <c r="V939" s="163"/>
      <c r="W939" s="163"/>
      <c r="X939" s="163"/>
      <c r="Y939" s="163"/>
      <c r="Z939" s="163"/>
      <c r="AA939" s="163"/>
      <c r="AB939" s="163"/>
      <c r="AC939" s="163"/>
      <c r="AD939" s="163"/>
      <c r="AE939" s="163"/>
      <c r="AF939" s="163"/>
      <c r="AG939" s="163"/>
      <c r="AH939" s="163"/>
      <c r="AI939" s="163"/>
      <c r="AJ939" s="163"/>
      <c r="AK939" s="163"/>
      <c r="AL939" s="163"/>
      <c r="AM939" s="163"/>
      <c r="AN939" s="163"/>
      <c r="AO939" s="163"/>
      <c r="AP939" s="163"/>
      <c r="AQ939" s="163"/>
      <c r="AR939" s="163"/>
      <c r="AS939" s="163"/>
      <c r="AT939" s="163"/>
    </row>
    <row r="940" spans="9:46" s="164" customFormat="1" x14ac:dyDescent="0.2">
      <c r="I940" s="165"/>
      <c r="O940" s="163"/>
      <c r="P940" s="163"/>
      <c r="Q940" s="163"/>
      <c r="R940" s="163"/>
      <c r="S940" s="163"/>
      <c r="T940" s="163"/>
      <c r="U940" s="163"/>
      <c r="V940" s="163"/>
      <c r="W940" s="163"/>
      <c r="X940" s="163"/>
      <c r="Y940" s="163"/>
      <c r="Z940" s="163"/>
      <c r="AA940" s="163"/>
      <c r="AB940" s="163"/>
      <c r="AC940" s="163"/>
      <c r="AD940" s="163"/>
      <c r="AE940" s="163"/>
      <c r="AF940" s="163"/>
      <c r="AG940" s="163"/>
      <c r="AH940" s="163"/>
      <c r="AI940" s="163"/>
      <c r="AJ940" s="163"/>
      <c r="AK940" s="163"/>
      <c r="AL940" s="163"/>
      <c r="AM940" s="163"/>
      <c r="AN940" s="163"/>
      <c r="AO940" s="163"/>
      <c r="AP940" s="163"/>
      <c r="AQ940" s="163"/>
      <c r="AR940" s="163"/>
      <c r="AS940" s="163"/>
      <c r="AT940" s="163"/>
    </row>
    <row r="941" spans="9:46" s="164" customFormat="1" x14ac:dyDescent="0.2">
      <c r="I941" s="165"/>
      <c r="O941" s="163"/>
      <c r="P941" s="163"/>
      <c r="Q941" s="163"/>
      <c r="R941" s="163"/>
      <c r="S941" s="163"/>
      <c r="T941" s="163"/>
      <c r="U941" s="163"/>
      <c r="V941" s="163"/>
      <c r="W941" s="163"/>
      <c r="X941" s="163"/>
      <c r="Y941" s="163"/>
      <c r="Z941" s="163"/>
      <c r="AA941" s="163"/>
      <c r="AB941" s="163"/>
      <c r="AC941" s="163"/>
      <c r="AD941" s="163"/>
      <c r="AE941" s="163"/>
      <c r="AF941" s="163"/>
      <c r="AG941" s="163"/>
      <c r="AH941" s="163"/>
      <c r="AI941" s="163"/>
      <c r="AJ941" s="163"/>
      <c r="AK941" s="163"/>
      <c r="AL941" s="163"/>
      <c r="AM941" s="163"/>
      <c r="AN941" s="163"/>
      <c r="AO941" s="163"/>
      <c r="AP941" s="163"/>
      <c r="AQ941" s="163"/>
      <c r="AR941" s="163"/>
      <c r="AS941" s="163"/>
      <c r="AT941" s="163"/>
    </row>
    <row r="942" spans="9:46" s="164" customFormat="1" x14ac:dyDescent="0.2">
      <c r="I942" s="165"/>
      <c r="O942" s="163"/>
      <c r="P942" s="163"/>
      <c r="Q942" s="163"/>
      <c r="R942" s="163"/>
      <c r="S942" s="163"/>
      <c r="T942" s="163"/>
      <c r="U942" s="163"/>
      <c r="V942" s="163"/>
      <c r="W942" s="163"/>
      <c r="X942" s="163"/>
      <c r="Y942" s="163"/>
      <c r="Z942" s="163"/>
      <c r="AA942" s="163"/>
      <c r="AB942" s="163"/>
      <c r="AC942" s="163"/>
      <c r="AD942" s="163"/>
      <c r="AE942" s="163"/>
      <c r="AF942" s="163"/>
      <c r="AG942" s="163"/>
      <c r="AH942" s="163"/>
      <c r="AI942" s="163"/>
      <c r="AJ942" s="163"/>
      <c r="AK942" s="163"/>
      <c r="AL942" s="163"/>
      <c r="AM942" s="163"/>
      <c r="AN942" s="163"/>
      <c r="AO942" s="163"/>
      <c r="AP942" s="163"/>
      <c r="AQ942" s="163"/>
      <c r="AR942" s="163"/>
      <c r="AS942" s="163"/>
      <c r="AT942" s="163"/>
    </row>
    <row r="943" spans="9:46" s="164" customFormat="1" x14ac:dyDescent="0.2">
      <c r="I943" s="165"/>
      <c r="O943" s="163"/>
      <c r="P943" s="163"/>
      <c r="Q943" s="163"/>
      <c r="R943" s="163"/>
      <c r="S943" s="163"/>
      <c r="T943" s="163"/>
      <c r="U943" s="163"/>
      <c r="V943" s="163"/>
      <c r="W943" s="163"/>
      <c r="X943" s="163"/>
      <c r="Y943" s="163"/>
      <c r="Z943" s="163"/>
      <c r="AA943" s="163"/>
      <c r="AB943" s="163"/>
      <c r="AC943" s="163"/>
      <c r="AD943" s="163"/>
      <c r="AE943" s="163"/>
      <c r="AF943" s="163"/>
      <c r="AG943" s="163"/>
      <c r="AH943" s="163"/>
      <c r="AI943" s="163"/>
      <c r="AJ943" s="163"/>
      <c r="AK943" s="163"/>
      <c r="AL943" s="163"/>
      <c r="AM943" s="163"/>
      <c r="AN943" s="163"/>
      <c r="AO943" s="163"/>
      <c r="AP943" s="163"/>
      <c r="AQ943" s="163"/>
      <c r="AR943" s="163"/>
      <c r="AS943" s="163"/>
      <c r="AT943" s="163"/>
    </row>
    <row r="944" spans="9:46" s="164" customFormat="1" x14ac:dyDescent="0.2">
      <c r="I944" s="165"/>
      <c r="O944" s="163"/>
      <c r="P944" s="163"/>
      <c r="Q944" s="163"/>
      <c r="R944" s="163"/>
      <c r="S944" s="163"/>
      <c r="T944" s="163"/>
      <c r="U944" s="163"/>
      <c r="V944" s="163"/>
      <c r="W944" s="163"/>
      <c r="X944" s="163"/>
      <c r="Y944" s="163"/>
      <c r="Z944" s="163"/>
      <c r="AA944" s="163"/>
      <c r="AB944" s="163"/>
      <c r="AC944" s="163"/>
      <c r="AD944" s="163"/>
      <c r="AE944" s="163"/>
      <c r="AF944" s="163"/>
      <c r="AG944" s="163"/>
      <c r="AH944" s="163"/>
      <c r="AI944" s="163"/>
      <c r="AJ944" s="163"/>
      <c r="AK944" s="163"/>
      <c r="AL944" s="163"/>
      <c r="AM944" s="163"/>
      <c r="AN944" s="163"/>
      <c r="AO944" s="163"/>
      <c r="AP944" s="163"/>
      <c r="AQ944" s="163"/>
      <c r="AR944" s="163"/>
      <c r="AS944" s="163"/>
      <c r="AT944" s="163"/>
    </row>
    <row r="945" spans="9:46" s="164" customFormat="1" x14ac:dyDescent="0.2">
      <c r="I945" s="165"/>
      <c r="O945" s="163"/>
      <c r="P945" s="163"/>
      <c r="Q945" s="163"/>
      <c r="R945" s="163"/>
      <c r="S945" s="163"/>
      <c r="T945" s="163"/>
      <c r="U945" s="163"/>
      <c r="V945" s="163"/>
      <c r="W945" s="163"/>
      <c r="X945" s="163"/>
      <c r="Y945" s="163"/>
      <c r="Z945" s="163"/>
      <c r="AA945" s="163"/>
      <c r="AB945" s="163"/>
      <c r="AC945" s="163"/>
      <c r="AD945" s="163"/>
      <c r="AE945" s="163"/>
      <c r="AF945" s="163"/>
      <c r="AG945" s="163"/>
      <c r="AH945" s="163"/>
      <c r="AI945" s="163"/>
      <c r="AJ945" s="163"/>
      <c r="AK945" s="163"/>
      <c r="AL945" s="163"/>
      <c r="AM945" s="163"/>
      <c r="AN945" s="163"/>
      <c r="AO945" s="163"/>
      <c r="AP945" s="163"/>
      <c r="AQ945" s="163"/>
      <c r="AR945" s="163"/>
      <c r="AS945" s="163"/>
      <c r="AT945" s="163"/>
    </row>
    <row r="946" spans="9:46" s="164" customFormat="1" x14ac:dyDescent="0.2">
      <c r="I946" s="165"/>
      <c r="O946" s="163"/>
      <c r="P946" s="163"/>
      <c r="Q946" s="163"/>
      <c r="R946" s="163"/>
      <c r="S946" s="163"/>
      <c r="T946" s="163"/>
      <c r="U946" s="163"/>
      <c r="V946" s="163"/>
      <c r="W946" s="163"/>
      <c r="X946" s="163"/>
      <c r="Y946" s="163"/>
      <c r="Z946" s="163"/>
      <c r="AA946" s="163"/>
      <c r="AB946" s="163"/>
      <c r="AC946" s="163"/>
      <c r="AD946" s="163"/>
      <c r="AE946" s="163"/>
      <c r="AF946" s="163"/>
      <c r="AG946" s="163"/>
      <c r="AH946" s="163"/>
      <c r="AI946" s="163"/>
      <c r="AJ946" s="163"/>
      <c r="AK946" s="163"/>
      <c r="AL946" s="163"/>
      <c r="AM946" s="163"/>
      <c r="AN946" s="163"/>
      <c r="AO946" s="163"/>
      <c r="AP946" s="163"/>
      <c r="AQ946" s="163"/>
      <c r="AR946" s="163"/>
      <c r="AS946" s="163"/>
      <c r="AT946" s="163"/>
    </row>
    <row r="947" spans="9:46" s="164" customFormat="1" x14ac:dyDescent="0.2">
      <c r="I947" s="165"/>
      <c r="O947" s="163"/>
      <c r="P947" s="163"/>
      <c r="Q947" s="163"/>
      <c r="R947" s="163"/>
      <c r="S947" s="163"/>
      <c r="T947" s="163"/>
      <c r="U947" s="163"/>
      <c r="V947" s="163"/>
      <c r="W947" s="163"/>
      <c r="X947" s="163"/>
      <c r="Y947" s="163"/>
      <c r="Z947" s="163"/>
      <c r="AA947" s="163"/>
      <c r="AB947" s="163"/>
      <c r="AC947" s="163"/>
      <c r="AD947" s="163"/>
      <c r="AE947" s="163"/>
      <c r="AF947" s="163"/>
      <c r="AG947" s="163"/>
      <c r="AH947" s="163"/>
      <c r="AI947" s="163"/>
      <c r="AJ947" s="163"/>
      <c r="AK947" s="163"/>
      <c r="AL947" s="163"/>
      <c r="AM947" s="163"/>
      <c r="AN947" s="163"/>
      <c r="AO947" s="163"/>
      <c r="AP947" s="163"/>
      <c r="AQ947" s="163"/>
      <c r="AR947" s="163"/>
      <c r="AS947" s="163"/>
      <c r="AT947" s="163"/>
    </row>
    <row r="948" spans="9:46" s="164" customFormat="1" x14ac:dyDescent="0.2">
      <c r="I948" s="165"/>
      <c r="O948" s="163"/>
      <c r="P948" s="163"/>
      <c r="Q948" s="163"/>
      <c r="R948" s="163"/>
      <c r="S948" s="163"/>
      <c r="T948" s="163"/>
      <c r="U948" s="163"/>
      <c r="V948" s="163"/>
      <c r="W948" s="163"/>
      <c r="X948" s="163"/>
      <c r="Y948" s="163"/>
      <c r="Z948" s="163"/>
      <c r="AA948" s="163"/>
      <c r="AB948" s="163"/>
      <c r="AC948" s="163"/>
      <c r="AD948" s="163"/>
      <c r="AE948" s="163"/>
      <c r="AF948" s="163"/>
      <c r="AG948" s="163"/>
      <c r="AH948" s="163"/>
      <c r="AI948" s="163"/>
      <c r="AJ948" s="163"/>
      <c r="AK948" s="163"/>
      <c r="AL948" s="163"/>
      <c r="AM948" s="163"/>
      <c r="AN948" s="163"/>
      <c r="AO948" s="163"/>
      <c r="AP948" s="163"/>
      <c r="AQ948" s="163"/>
      <c r="AR948" s="163"/>
      <c r="AS948" s="163"/>
      <c r="AT948" s="163"/>
    </row>
    <row r="949" spans="9:46" s="164" customFormat="1" x14ac:dyDescent="0.2">
      <c r="I949" s="165"/>
      <c r="O949" s="163"/>
      <c r="P949" s="163"/>
      <c r="Q949" s="163"/>
      <c r="R949" s="163"/>
      <c r="S949" s="163"/>
      <c r="T949" s="163"/>
      <c r="U949" s="163"/>
      <c r="V949" s="163"/>
      <c r="W949" s="163"/>
      <c r="X949" s="163"/>
      <c r="Y949" s="163"/>
      <c r="Z949" s="163"/>
      <c r="AA949" s="163"/>
      <c r="AB949" s="163"/>
      <c r="AC949" s="163"/>
      <c r="AD949" s="163"/>
      <c r="AE949" s="163"/>
      <c r="AF949" s="163"/>
      <c r="AG949" s="163"/>
      <c r="AH949" s="163"/>
      <c r="AI949" s="163"/>
      <c r="AJ949" s="163"/>
      <c r="AK949" s="163"/>
      <c r="AL949" s="163"/>
      <c r="AM949" s="163"/>
      <c r="AN949" s="163"/>
      <c r="AO949" s="163"/>
      <c r="AP949" s="163"/>
      <c r="AQ949" s="163"/>
      <c r="AR949" s="163"/>
      <c r="AS949" s="163"/>
      <c r="AT949" s="163"/>
    </row>
    <row r="950" spans="9:46" s="164" customFormat="1" x14ac:dyDescent="0.2">
      <c r="I950" s="165"/>
      <c r="O950" s="163"/>
      <c r="P950" s="163"/>
      <c r="Q950" s="163"/>
      <c r="R950" s="163"/>
      <c r="S950" s="163"/>
      <c r="T950" s="163"/>
      <c r="U950" s="163"/>
      <c r="V950" s="163"/>
      <c r="W950" s="163"/>
      <c r="X950" s="163"/>
      <c r="Y950" s="163"/>
      <c r="Z950" s="163"/>
      <c r="AA950" s="163"/>
      <c r="AB950" s="163"/>
      <c r="AC950" s="163"/>
      <c r="AD950" s="163"/>
      <c r="AE950" s="163"/>
      <c r="AF950" s="163"/>
      <c r="AG950" s="163"/>
      <c r="AH950" s="163"/>
      <c r="AI950" s="163"/>
      <c r="AJ950" s="163"/>
      <c r="AK950" s="163"/>
      <c r="AL950" s="163"/>
      <c r="AM950" s="163"/>
      <c r="AN950" s="163"/>
      <c r="AO950" s="163"/>
      <c r="AP950" s="163"/>
      <c r="AQ950" s="163"/>
      <c r="AR950" s="163"/>
      <c r="AS950" s="163"/>
      <c r="AT950" s="163"/>
    </row>
    <row r="951" spans="9:46" s="164" customFormat="1" x14ac:dyDescent="0.2">
      <c r="I951" s="165"/>
      <c r="O951" s="163"/>
      <c r="P951" s="163"/>
      <c r="Q951" s="163"/>
      <c r="R951" s="163"/>
      <c r="S951" s="163"/>
      <c r="T951" s="163"/>
      <c r="U951" s="163"/>
      <c r="V951" s="163"/>
      <c r="W951" s="163"/>
      <c r="X951" s="163"/>
      <c r="Y951" s="163"/>
      <c r="Z951" s="163"/>
      <c r="AA951" s="163"/>
      <c r="AB951" s="163"/>
      <c r="AC951" s="163"/>
      <c r="AD951" s="163"/>
      <c r="AE951" s="163"/>
      <c r="AF951" s="163"/>
      <c r="AG951" s="163"/>
      <c r="AH951" s="163"/>
      <c r="AI951" s="163"/>
      <c r="AJ951" s="163"/>
      <c r="AK951" s="163"/>
      <c r="AL951" s="163"/>
      <c r="AM951" s="163"/>
      <c r="AN951" s="163"/>
      <c r="AO951" s="163"/>
      <c r="AP951" s="163"/>
      <c r="AQ951" s="163"/>
      <c r="AR951" s="163"/>
      <c r="AS951" s="163"/>
      <c r="AT951" s="163"/>
    </row>
    <row r="952" spans="9:46" s="164" customFormat="1" x14ac:dyDescent="0.2">
      <c r="I952" s="165"/>
      <c r="O952" s="163"/>
      <c r="P952" s="163"/>
      <c r="Q952" s="163"/>
      <c r="R952" s="163"/>
      <c r="S952" s="163"/>
      <c r="T952" s="163"/>
      <c r="U952" s="163"/>
      <c r="V952" s="163"/>
      <c r="W952" s="163"/>
      <c r="X952" s="163"/>
      <c r="Y952" s="163"/>
      <c r="Z952" s="163"/>
      <c r="AA952" s="163"/>
      <c r="AB952" s="163"/>
      <c r="AC952" s="163"/>
      <c r="AD952" s="163"/>
      <c r="AE952" s="163"/>
      <c r="AF952" s="163"/>
      <c r="AG952" s="163"/>
      <c r="AH952" s="163"/>
      <c r="AI952" s="163"/>
      <c r="AJ952" s="163"/>
      <c r="AK952" s="163"/>
      <c r="AL952" s="163"/>
      <c r="AM952" s="163"/>
      <c r="AN952" s="163"/>
      <c r="AO952" s="163"/>
      <c r="AP952" s="163"/>
      <c r="AQ952" s="163"/>
      <c r="AR952" s="163"/>
      <c r="AS952" s="163"/>
      <c r="AT952" s="163"/>
    </row>
    <row r="953" spans="9:46" s="164" customFormat="1" x14ac:dyDescent="0.2">
      <c r="I953" s="165"/>
      <c r="O953" s="163"/>
      <c r="P953" s="163"/>
      <c r="Q953" s="163"/>
      <c r="R953" s="163"/>
      <c r="S953" s="163"/>
      <c r="T953" s="163"/>
      <c r="U953" s="163"/>
      <c r="V953" s="163"/>
      <c r="W953" s="163"/>
      <c r="X953" s="163"/>
      <c r="Y953" s="163"/>
      <c r="Z953" s="163"/>
      <c r="AA953" s="163"/>
      <c r="AB953" s="163"/>
      <c r="AC953" s="163"/>
      <c r="AD953" s="163"/>
      <c r="AE953" s="163"/>
      <c r="AF953" s="163"/>
      <c r="AG953" s="163"/>
      <c r="AH953" s="163"/>
      <c r="AI953" s="163"/>
      <c r="AJ953" s="163"/>
      <c r="AK953" s="163"/>
      <c r="AL953" s="163"/>
      <c r="AM953" s="163"/>
      <c r="AN953" s="163"/>
      <c r="AO953" s="163"/>
      <c r="AP953" s="163"/>
      <c r="AQ953" s="163"/>
      <c r="AR953" s="163"/>
      <c r="AS953" s="163"/>
      <c r="AT953" s="163"/>
    </row>
    <row r="954" spans="9:46" s="164" customFormat="1" x14ac:dyDescent="0.2">
      <c r="I954" s="165"/>
      <c r="O954" s="163"/>
      <c r="P954" s="163"/>
      <c r="Q954" s="163"/>
      <c r="R954" s="163"/>
      <c r="S954" s="163"/>
      <c r="T954" s="163"/>
      <c r="U954" s="163"/>
      <c r="V954" s="163"/>
      <c r="W954" s="163"/>
      <c r="X954" s="163"/>
      <c r="Y954" s="163"/>
      <c r="Z954" s="163"/>
      <c r="AA954" s="163"/>
      <c r="AB954" s="163"/>
      <c r="AC954" s="163"/>
      <c r="AD954" s="163"/>
      <c r="AE954" s="163"/>
      <c r="AF954" s="163"/>
      <c r="AG954" s="163"/>
      <c r="AH954" s="163"/>
      <c r="AI954" s="163"/>
      <c r="AJ954" s="163"/>
      <c r="AK954" s="163"/>
      <c r="AL954" s="163"/>
      <c r="AM954" s="163"/>
      <c r="AN954" s="163"/>
      <c r="AO954" s="163"/>
      <c r="AP954" s="163"/>
      <c r="AQ954" s="163"/>
      <c r="AR954" s="163"/>
      <c r="AS954" s="163"/>
      <c r="AT954" s="163"/>
    </row>
    <row r="955" spans="9:46" s="164" customFormat="1" x14ac:dyDescent="0.2">
      <c r="I955" s="165"/>
      <c r="O955" s="163"/>
      <c r="P955" s="163"/>
      <c r="Q955" s="163"/>
      <c r="R955" s="163"/>
      <c r="S955" s="163"/>
      <c r="T955" s="163"/>
      <c r="U955" s="163"/>
      <c r="V955" s="163"/>
      <c r="W955" s="163"/>
      <c r="X955" s="163"/>
      <c r="Y955" s="163"/>
      <c r="Z955" s="163"/>
      <c r="AA955" s="163"/>
      <c r="AB955" s="163"/>
      <c r="AC955" s="163"/>
      <c r="AD955" s="163"/>
      <c r="AE955" s="163"/>
      <c r="AF955" s="163"/>
      <c r="AG955" s="163"/>
      <c r="AH955" s="163"/>
      <c r="AI955" s="163"/>
      <c r="AJ955" s="163"/>
      <c r="AK955" s="163"/>
      <c r="AL955" s="163"/>
      <c r="AM955" s="163"/>
      <c r="AN955" s="163"/>
      <c r="AO955" s="163"/>
      <c r="AP955" s="163"/>
      <c r="AQ955" s="163"/>
      <c r="AR955" s="163"/>
      <c r="AS955" s="163"/>
      <c r="AT955" s="163"/>
    </row>
    <row r="956" spans="9:46" s="164" customFormat="1" x14ac:dyDescent="0.2">
      <c r="I956" s="165"/>
      <c r="O956" s="163"/>
      <c r="P956" s="163"/>
      <c r="Q956" s="163"/>
      <c r="R956" s="163"/>
      <c r="S956" s="163"/>
      <c r="T956" s="163"/>
      <c r="U956" s="163"/>
      <c r="V956" s="163"/>
      <c r="W956" s="163"/>
      <c r="X956" s="163"/>
      <c r="Y956" s="163"/>
      <c r="Z956" s="163"/>
      <c r="AA956" s="163"/>
      <c r="AB956" s="163"/>
      <c r="AC956" s="163"/>
      <c r="AD956" s="163"/>
      <c r="AE956" s="163"/>
      <c r="AF956" s="163"/>
      <c r="AG956" s="163"/>
      <c r="AH956" s="163"/>
      <c r="AI956" s="163"/>
      <c r="AJ956" s="163"/>
      <c r="AK956" s="163"/>
      <c r="AL956" s="163"/>
      <c r="AM956" s="163"/>
      <c r="AN956" s="163"/>
      <c r="AO956" s="163"/>
      <c r="AP956" s="163"/>
      <c r="AQ956" s="163"/>
      <c r="AR956" s="163"/>
      <c r="AS956" s="163"/>
      <c r="AT956" s="163"/>
    </row>
    <row r="957" spans="9:46" s="164" customFormat="1" x14ac:dyDescent="0.2">
      <c r="I957" s="165"/>
      <c r="O957" s="163"/>
      <c r="P957" s="163"/>
      <c r="Q957" s="163"/>
      <c r="R957" s="163"/>
      <c r="S957" s="163"/>
      <c r="T957" s="163"/>
      <c r="U957" s="163"/>
      <c r="V957" s="163"/>
      <c r="W957" s="163"/>
      <c r="X957" s="163"/>
      <c r="Y957" s="163"/>
      <c r="Z957" s="163"/>
      <c r="AA957" s="163"/>
      <c r="AB957" s="163"/>
      <c r="AC957" s="163"/>
      <c r="AD957" s="163"/>
      <c r="AE957" s="163"/>
      <c r="AF957" s="163"/>
      <c r="AG957" s="163"/>
      <c r="AH957" s="163"/>
      <c r="AI957" s="163"/>
      <c r="AJ957" s="163"/>
      <c r="AK957" s="163"/>
      <c r="AL957" s="163"/>
      <c r="AM957" s="163"/>
      <c r="AN957" s="163"/>
      <c r="AO957" s="163"/>
      <c r="AP957" s="163"/>
      <c r="AQ957" s="163"/>
      <c r="AR957" s="163"/>
      <c r="AS957" s="163"/>
      <c r="AT957" s="163"/>
    </row>
    <row r="958" spans="9:46" s="164" customFormat="1" x14ac:dyDescent="0.2">
      <c r="I958" s="165"/>
      <c r="O958" s="163"/>
      <c r="P958" s="163"/>
      <c r="Q958" s="163"/>
      <c r="R958" s="163"/>
      <c r="S958" s="163"/>
      <c r="T958" s="163"/>
      <c r="U958" s="163"/>
      <c r="V958" s="163"/>
      <c r="W958" s="163"/>
      <c r="X958" s="163"/>
      <c r="Y958" s="163"/>
      <c r="Z958" s="163"/>
      <c r="AA958" s="163"/>
      <c r="AB958" s="163"/>
      <c r="AC958" s="163"/>
      <c r="AD958" s="163"/>
      <c r="AE958" s="163"/>
      <c r="AF958" s="163"/>
      <c r="AG958" s="163"/>
      <c r="AH958" s="163"/>
      <c r="AI958" s="163"/>
      <c r="AJ958" s="163"/>
      <c r="AK958" s="163"/>
      <c r="AL958" s="163"/>
      <c r="AM958" s="163"/>
      <c r="AN958" s="163"/>
      <c r="AO958" s="163"/>
      <c r="AP958" s="163"/>
      <c r="AQ958" s="163"/>
      <c r="AR958" s="163"/>
      <c r="AS958" s="163"/>
      <c r="AT958" s="163"/>
    </row>
    <row r="959" spans="9:46" s="164" customFormat="1" x14ac:dyDescent="0.2">
      <c r="I959" s="165"/>
      <c r="O959" s="163"/>
      <c r="P959" s="163"/>
      <c r="Q959" s="163"/>
      <c r="R959" s="163"/>
      <c r="S959" s="163"/>
      <c r="T959" s="163"/>
      <c r="U959" s="163"/>
      <c r="V959" s="163"/>
      <c r="W959" s="163"/>
      <c r="X959" s="163"/>
      <c r="Y959" s="163"/>
      <c r="Z959" s="163"/>
      <c r="AA959" s="163"/>
      <c r="AB959" s="163"/>
      <c r="AC959" s="163"/>
      <c r="AD959" s="163"/>
      <c r="AE959" s="163"/>
      <c r="AF959" s="163"/>
      <c r="AG959" s="163"/>
      <c r="AH959" s="163"/>
      <c r="AI959" s="163"/>
      <c r="AJ959" s="163"/>
      <c r="AK959" s="163"/>
      <c r="AL959" s="163"/>
      <c r="AM959" s="163"/>
      <c r="AN959" s="163"/>
      <c r="AO959" s="163"/>
      <c r="AP959" s="163"/>
      <c r="AQ959" s="163"/>
      <c r="AR959" s="163"/>
      <c r="AS959" s="163"/>
      <c r="AT959" s="163"/>
    </row>
    <row r="960" spans="9:46" s="164" customFormat="1" x14ac:dyDescent="0.2">
      <c r="I960" s="165"/>
      <c r="O960" s="163"/>
      <c r="P960" s="163"/>
      <c r="Q960" s="163"/>
      <c r="R960" s="163"/>
      <c r="S960" s="163"/>
      <c r="T960" s="163"/>
      <c r="U960" s="163"/>
      <c r="V960" s="163"/>
      <c r="W960" s="163"/>
      <c r="X960" s="163"/>
      <c r="Y960" s="163"/>
      <c r="Z960" s="163"/>
      <c r="AA960" s="163"/>
      <c r="AB960" s="163"/>
      <c r="AC960" s="163"/>
      <c r="AD960" s="163"/>
      <c r="AE960" s="163"/>
      <c r="AF960" s="163"/>
      <c r="AG960" s="163"/>
      <c r="AH960" s="163"/>
      <c r="AI960" s="163"/>
      <c r="AJ960" s="163"/>
      <c r="AK960" s="163"/>
      <c r="AL960" s="163"/>
      <c r="AM960" s="163"/>
      <c r="AN960" s="163"/>
      <c r="AO960" s="163"/>
      <c r="AP960" s="163"/>
      <c r="AQ960" s="163"/>
      <c r="AR960" s="163"/>
      <c r="AS960" s="163"/>
      <c r="AT960" s="163"/>
    </row>
    <row r="961" spans="9:49" s="164" customFormat="1" x14ac:dyDescent="0.2">
      <c r="I961" s="165"/>
      <c r="O961" s="163"/>
      <c r="P961" s="163"/>
      <c r="Q961" s="163"/>
      <c r="R961" s="163"/>
      <c r="S961" s="163"/>
      <c r="T961" s="163"/>
      <c r="U961" s="163"/>
      <c r="V961" s="163"/>
      <c r="W961" s="163"/>
      <c r="X961" s="163"/>
      <c r="Y961" s="163"/>
      <c r="Z961" s="163"/>
      <c r="AA961" s="163"/>
      <c r="AB961" s="163"/>
      <c r="AC961" s="163"/>
      <c r="AD961" s="163"/>
      <c r="AE961" s="163"/>
      <c r="AF961" s="163"/>
      <c r="AG961" s="163"/>
      <c r="AH961" s="163"/>
      <c r="AI961" s="163"/>
      <c r="AJ961" s="163"/>
      <c r="AK961" s="163"/>
      <c r="AL961" s="163"/>
      <c r="AM961" s="163"/>
      <c r="AN961" s="163"/>
      <c r="AO961" s="163"/>
      <c r="AP961" s="163"/>
      <c r="AQ961" s="163"/>
      <c r="AR961" s="163"/>
      <c r="AS961" s="163"/>
      <c r="AT961" s="163"/>
    </row>
    <row r="962" spans="9:49" s="164" customFormat="1" x14ac:dyDescent="0.2">
      <c r="I962" s="165"/>
      <c r="O962" s="163"/>
      <c r="P962" s="163"/>
      <c r="Q962" s="163"/>
      <c r="R962" s="163"/>
      <c r="S962" s="163"/>
      <c r="T962" s="163"/>
      <c r="U962" s="163"/>
      <c r="V962" s="163"/>
      <c r="W962" s="163"/>
      <c r="X962" s="163"/>
      <c r="Y962" s="163"/>
      <c r="Z962" s="163"/>
      <c r="AA962" s="163"/>
      <c r="AB962" s="163"/>
      <c r="AC962" s="163"/>
      <c r="AD962" s="163"/>
      <c r="AE962" s="163"/>
      <c r="AF962" s="163"/>
      <c r="AG962" s="163"/>
      <c r="AH962" s="163"/>
      <c r="AI962" s="163"/>
      <c r="AJ962" s="163"/>
      <c r="AK962" s="163"/>
      <c r="AL962" s="163"/>
      <c r="AM962" s="163"/>
      <c r="AN962" s="163"/>
      <c r="AO962" s="163"/>
      <c r="AP962" s="163"/>
      <c r="AQ962" s="163"/>
      <c r="AR962" s="163"/>
      <c r="AS962" s="163"/>
      <c r="AT962" s="163"/>
    </row>
    <row r="963" spans="9:49" s="164" customFormat="1" x14ac:dyDescent="0.2">
      <c r="I963" s="165"/>
      <c r="O963" s="163"/>
      <c r="P963" s="163"/>
      <c r="Q963" s="163"/>
      <c r="R963" s="163"/>
      <c r="S963" s="163"/>
      <c r="T963" s="163"/>
      <c r="U963" s="163"/>
      <c r="V963" s="163"/>
      <c r="W963" s="163"/>
      <c r="X963" s="163"/>
      <c r="Y963" s="163"/>
      <c r="Z963" s="163"/>
      <c r="AA963" s="163"/>
      <c r="AB963" s="163"/>
      <c r="AC963" s="163"/>
      <c r="AD963" s="163"/>
      <c r="AE963" s="163"/>
      <c r="AF963" s="163"/>
      <c r="AG963" s="163"/>
      <c r="AH963" s="163"/>
      <c r="AI963" s="163"/>
      <c r="AJ963" s="163"/>
      <c r="AK963" s="163"/>
      <c r="AL963" s="163"/>
      <c r="AM963" s="163"/>
      <c r="AN963" s="163"/>
      <c r="AO963" s="163"/>
      <c r="AP963" s="163"/>
      <c r="AQ963" s="163"/>
      <c r="AR963" s="163"/>
      <c r="AS963" s="163"/>
      <c r="AT963" s="163"/>
    </row>
    <row r="964" spans="9:49" s="164" customFormat="1" x14ac:dyDescent="0.2">
      <c r="I964" s="165"/>
      <c r="O964" s="163"/>
      <c r="P964" s="163"/>
      <c r="Q964" s="163"/>
      <c r="R964" s="163"/>
      <c r="S964" s="163"/>
      <c r="T964" s="163"/>
      <c r="U964" s="163"/>
      <c r="V964" s="163"/>
      <c r="W964" s="163"/>
      <c r="X964" s="163"/>
      <c r="Y964" s="163"/>
      <c r="Z964" s="163"/>
      <c r="AA964" s="163"/>
      <c r="AB964" s="163"/>
      <c r="AC964" s="163"/>
      <c r="AD964" s="163"/>
      <c r="AE964" s="163"/>
      <c r="AF964" s="163"/>
      <c r="AG964" s="163"/>
      <c r="AH964" s="163"/>
      <c r="AI964" s="163"/>
      <c r="AJ964" s="163"/>
      <c r="AK964" s="163"/>
      <c r="AL964" s="163"/>
      <c r="AM964" s="163"/>
      <c r="AN964" s="163"/>
      <c r="AO964" s="163"/>
      <c r="AP964" s="163"/>
      <c r="AQ964" s="163"/>
      <c r="AR964" s="163"/>
      <c r="AS964" s="163"/>
      <c r="AT964" s="163"/>
    </row>
    <row r="965" spans="9:49" s="164" customFormat="1" x14ac:dyDescent="0.2">
      <c r="I965" s="165"/>
      <c r="O965" s="163"/>
      <c r="P965" s="163"/>
      <c r="Q965" s="163"/>
      <c r="R965" s="163"/>
      <c r="S965" s="163"/>
      <c r="T965" s="163"/>
      <c r="U965" s="163"/>
      <c r="V965" s="163"/>
      <c r="W965" s="163"/>
      <c r="X965" s="163"/>
      <c r="Y965" s="163"/>
      <c r="Z965" s="163"/>
      <c r="AA965" s="163"/>
      <c r="AB965" s="163"/>
      <c r="AC965" s="163"/>
      <c r="AD965" s="163"/>
      <c r="AE965" s="163"/>
      <c r="AF965" s="163"/>
      <c r="AG965" s="163"/>
      <c r="AH965" s="163"/>
      <c r="AI965" s="163"/>
      <c r="AJ965" s="163"/>
      <c r="AK965" s="163"/>
      <c r="AL965" s="163"/>
      <c r="AM965" s="163"/>
      <c r="AN965" s="163"/>
      <c r="AO965" s="163"/>
      <c r="AP965" s="163"/>
      <c r="AQ965" s="163"/>
      <c r="AR965" s="163"/>
      <c r="AS965" s="163"/>
      <c r="AT965" s="163"/>
    </row>
    <row r="966" spans="9:49" s="164" customFormat="1" x14ac:dyDescent="0.2">
      <c r="I966" s="165"/>
      <c r="O966" s="163"/>
      <c r="P966" s="163"/>
      <c r="Q966" s="163"/>
      <c r="R966" s="163"/>
      <c r="S966" s="163"/>
      <c r="T966" s="163"/>
      <c r="U966" s="163"/>
      <c r="V966" s="163"/>
      <c r="W966" s="163"/>
      <c r="X966" s="163"/>
      <c r="Y966" s="163"/>
      <c r="Z966" s="163"/>
      <c r="AA966" s="163"/>
      <c r="AB966" s="163"/>
      <c r="AC966" s="163"/>
      <c r="AD966" s="163"/>
      <c r="AE966" s="163"/>
      <c r="AF966" s="163"/>
      <c r="AG966" s="163"/>
      <c r="AH966" s="163"/>
      <c r="AI966" s="163"/>
      <c r="AJ966" s="163"/>
      <c r="AK966" s="163"/>
      <c r="AL966" s="163"/>
      <c r="AM966" s="163"/>
      <c r="AN966" s="163"/>
      <c r="AO966" s="163"/>
      <c r="AP966" s="163"/>
      <c r="AQ966" s="163"/>
      <c r="AR966" s="163"/>
      <c r="AS966" s="163"/>
      <c r="AT966" s="163"/>
    </row>
    <row r="967" spans="9:49" s="164" customFormat="1" x14ac:dyDescent="0.2">
      <c r="I967" s="165"/>
      <c r="O967" s="163"/>
      <c r="P967" s="163"/>
      <c r="Q967" s="163"/>
      <c r="R967" s="163"/>
      <c r="S967" s="163"/>
      <c r="T967" s="163"/>
      <c r="U967" s="163"/>
      <c r="V967" s="163"/>
      <c r="W967" s="163"/>
      <c r="X967" s="163"/>
      <c r="Y967" s="163"/>
      <c r="Z967" s="163"/>
      <c r="AA967" s="163"/>
      <c r="AB967" s="163"/>
      <c r="AC967" s="163"/>
      <c r="AD967" s="163"/>
      <c r="AE967" s="163"/>
      <c r="AF967" s="163"/>
      <c r="AG967" s="163"/>
      <c r="AH967" s="163"/>
      <c r="AI967" s="163"/>
      <c r="AJ967" s="163"/>
      <c r="AK967" s="163"/>
      <c r="AL967" s="163"/>
      <c r="AM967" s="163"/>
      <c r="AN967" s="163"/>
      <c r="AO967" s="163"/>
      <c r="AP967" s="163"/>
      <c r="AQ967" s="163"/>
      <c r="AR967" s="163"/>
      <c r="AS967" s="163"/>
      <c r="AT967" s="163"/>
    </row>
    <row r="968" spans="9:49" s="164" customFormat="1" x14ac:dyDescent="0.2">
      <c r="I968" s="165"/>
      <c r="O968" s="163"/>
      <c r="P968" s="163"/>
      <c r="Q968" s="163"/>
      <c r="R968" s="163"/>
      <c r="S968" s="163"/>
      <c r="T968" s="163"/>
      <c r="U968" s="163"/>
      <c r="V968" s="163"/>
      <c r="W968" s="163"/>
      <c r="X968" s="163"/>
      <c r="Y968" s="163"/>
      <c r="Z968" s="163"/>
      <c r="AA968" s="163"/>
      <c r="AB968" s="163"/>
      <c r="AC968" s="163"/>
      <c r="AD968" s="163"/>
      <c r="AE968" s="163"/>
      <c r="AF968" s="163"/>
      <c r="AG968" s="163"/>
      <c r="AH968" s="163"/>
      <c r="AI968" s="163"/>
      <c r="AJ968" s="163"/>
      <c r="AK968" s="163"/>
      <c r="AL968" s="163"/>
      <c r="AM968" s="163"/>
      <c r="AN968" s="163"/>
      <c r="AO968" s="163"/>
      <c r="AP968" s="163"/>
      <c r="AQ968" s="163"/>
      <c r="AR968" s="163"/>
      <c r="AS968" s="163"/>
      <c r="AT968" s="163"/>
    </row>
    <row r="969" spans="9:49" s="164" customFormat="1" x14ac:dyDescent="0.2">
      <c r="I969" s="165"/>
      <c r="O969" s="163"/>
      <c r="P969" s="68"/>
      <c r="Q969" s="68"/>
      <c r="R969" s="68"/>
      <c r="S969" s="68"/>
      <c r="T969" s="68"/>
      <c r="U969" s="68"/>
      <c r="V969" s="68"/>
      <c r="W969" s="68"/>
      <c r="X969" s="68"/>
      <c r="Y969" s="68"/>
      <c r="Z969" s="68"/>
      <c r="AA969" s="68"/>
      <c r="AB969" s="68"/>
      <c r="AC969" s="68"/>
      <c r="AD969" s="68"/>
      <c r="AE969" s="68"/>
      <c r="AF969" s="68"/>
      <c r="AG969" s="68"/>
      <c r="AH969" s="68"/>
      <c r="AI969" s="68"/>
      <c r="AJ969" s="68"/>
      <c r="AK969" s="68"/>
      <c r="AL969" s="68"/>
      <c r="AM969" s="68"/>
      <c r="AN969" s="68"/>
      <c r="AO969" s="68"/>
      <c r="AP969" s="163"/>
      <c r="AQ969" s="163"/>
      <c r="AR969" s="163"/>
      <c r="AS969" s="163"/>
      <c r="AT969" s="163"/>
    </row>
    <row r="970" spans="9:49" s="164" customFormat="1" x14ac:dyDescent="0.2">
      <c r="I970" s="165"/>
      <c r="O970" s="163"/>
      <c r="P970" s="68"/>
      <c r="Q970" s="68"/>
      <c r="R970" s="68"/>
      <c r="S970" s="68"/>
      <c r="T970" s="68"/>
      <c r="U970" s="68"/>
      <c r="V970" s="68"/>
      <c r="W970" s="68"/>
      <c r="X970" s="68"/>
      <c r="Y970" s="68"/>
      <c r="Z970" s="68"/>
      <c r="AA970" s="68"/>
      <c r="AB970" s="68"/>
      <c r="AC970" s="68"/>
      <c r="AD970" s="68"/>
      <c r="AE970" s="68"/>
      <c r="AF970" s="68"/>
      <c r="AG970" s="68"/>
      <c r="AH970" s="68"/>
      <c r="AI970" s="68"/>
      <c r="AJ970" s="68"/>
      <c r="AK970" s="68"/>
      <c r="AL970" s="68"/>
      <c r="AM970" s="68"/>
      <c r="AN970" s="68"/>
      <c r="AO970" s="68"/>
      <c r="AP970" s="163"/>
      <c r="AQ970" s="163"/>
      <c r="AR970" s="163"/>
      <c r="AS970" s="163"/>
      <c r="AT970" s="163"/>
    </row>
    <row r="971" spans="9:49" s="164" customFormat="1" x14ac:dyDescent="0.2">
      <c r="I971" s="165"/>
      <c r="O971" s="163"/>
      <c r="P971" s="68"/>
      <c r="Q971" s="68"/>
      <c r="R971" s="68"/>
      <c r="S971" s="68"/>
      <c r="T971" s="68"/>
      <c r="U971" s="68"/>
      <c r="V971" s="68"/>
      <c r="W971" s="68"/>
      <c r="X971" s="68"/>
      <c r="Y971" s="68"/>
      <c r="Z971" s="68"/>
      <c r="AA971" s="68"/>
      <c r="AB971" s="68"/>
      <c r="AC971" s="68"/>
      <c r="AD971" s="68"/>
      <c r="AE971" s="68"/>
      <c r="AF971" s="68"/>
      <c r="AG971" s="68"/>
      <c r="AH971" s="68"/>
      <c r="AI971" s="68"/>
      <c r="AJ971" s="68"/>
      <c r="AK971" s="68"/>
      <c r="AL971" s="68"/>
      <c r="AM971" s="68"/>
      <c r="AN971" s="68"/>
      <c r="AO971" s="68"/>
      <c r="AP971" s="163"/>
      <c r="AQ971" s="163"/>
      <c r="AR971" s="163"/>
      <c r="AS971" s="163"/>
      <c r="AT971" s="163"/>
    </row>
    <row r="972" spans="9:49" s="164" customFormat="1" x14ac:dyDescent="0.2">
      <c r="I972" s="165"/>
      <c r="O972" s="163"/>
      <c r="P972" s="68"/>
      <c r="Q972" s="68"/>
      <c r="R972" s="68"/>
      <c r="S972" s="68"/>
      <c r="T972" s="68"/>
      <c r="U972" s="68"/>
      <c r="V972" s="68"/>
      <c r="W972" s="68"/>
      <c r="X972" s="68"/>
      <c r="Y972" s="68"/>
      <c r="Z972" s="68"/>
      <c r="AA972" s="68"/>
      <c r="AB972" s="68"/>
      <c r="AC972" s="68"/>
      <c r="AD972" s="68"/>
      <c r="AE972" s="68"/>
      <c r="AF972" s="68"/>
      <c r="AG972" s="68"/>
      <c r="AH972" s="68"/>
      <c r="AI972" s="68"/>
      <c r="AJ972" s="68"/>
      <c r="AK972" s="68"/>
      <c r="AL972" s="68"/>
      <c r="AM972" s="68"/>
      <c r="AN972" s="68"/>
      <c r="AO972" s="68"/>
      <c r="AP972" s="163"/>
      <c r="AQ972" s="163"/>
      <c r="AR972" s="163"/>
      <c r="AS972" s="163"/>
      <c r="AT972" s="163"/>
    </row>
    <row r="973" spans="9:49" s="164" customFormat="1" x14ac:dyDescent="0.2">
      <c r="I973" s="165"/>
      <c r="O973" s="163"/>
      <c r="P973" s="68"/>
      <c r="Q973" s="68"/>
      <c r="R973" s="68"/>
      <c r="S973" s="68"/>
      <c r="T973" s="68"/>
      <c r="U973" s="68"/>
      <c r="V973" s="68"/>
      <c r="W973" s="68"/>
      <c r="X973" s="68"/>
      <c r="Y973" s="68"/>
      <c r="Z973" s="68"/>
      <c r="AA973" s="68"/>
      <c r="AB973" s="68"/>
      <c r="AC973" s="68"/>
      <c r="AD973" s="68"/>
      <c r="AE973" s="68"/>
      <c r="AF973" s="68"/>
      <c r="AG973" s="68"/>
      <c r="AH973" s="68"/>
      <c r="AI973" s="68"/>
      <c r="AJ973" s="68"/>
      <c r="AK973" s="68"/>
      <c r="AL973" s="68"/>
      <c r="AM973" s="68"/>
      <c r="AN973" s="68"/>
      <c r="AO973" s="68"/>
      <c r="AP973" s="163"/>
      <c r="AQ973" s="163"/>
      <c r="AR973" s="163"/>
      <c r="AS973" s="163"/>
      <c r="AT973" s="163"/>
    </row>
    <row r="974" spans="9:49" s="164" customFormat="1" x14ac:dyDescent="0.2">
      <c r="I974" s="165"/>
      <c r="O974" s="163"/>
      <c r="P974" s="68"/>
      <c r="Q974" s="68"/>
      <c r="R974" s="68"/>
      <c r="S974" s="68"/>
      <c r="T974" s="68"/>
      <c r="U974" s="68"/>
      <c r="V974" s="68"/>
      <c r="W974" s="68"/>
      <c r="X974" s="68"/>
      <c r="Y974" s="68"/>
      <c r="Z974" s="68"/>
      <c r="AA974" s="68"/>
      <c r="AB974" s="68"/>
      <c r="AC974" s="68"/>
      <c r="AD974" s="68"/>
      <c r="AE974" s="68"/>
      <c r="AF974" s="68"/>
      <c r="AG974" s="68"/>
      <c r="AH974" s="68"/>
      <c r="AI974" s="68"/>
      <c r="AJ974" s="68"/>
      <c r="AK974" s="68"/>
      <c r="AL974" s="68"/>
      <c r="AM974" s="68"/>
      <c r="AN974" s="68"/>
      <c r="AO974" s="68"/>
      <c r="AP974" s="163"/>
      <c r="AQ974" s="163"/>
      <c r="AR974" s="163"/>
      <c r="AS974" s="163"/>
      <c r="AT974" s="163"/>
    </row>
    <row r="975" spans="9:49" s="164" customFormat="1" x14ac:dyDescent="0.2">
      <c r="I975" s="165"/>
      <c r="O975" s="163"/>
      <c r="P975" s="68"/>
      <c r="Q975" s="68"/>
      <c r="R975" s="68"/>
      <c r="S975" s="68"/>
      <c r="T975" s="68"/>
      <c r="U975" s="68"/>
      <c r="V975" s="68"/>
      <c r="W975" s="68"/>
      <c r="X975" s="68"/>
      <c r="Y975" s="68"/>
      <c r="Z975" s="68"/>
      <c r="AA975" s="68"/>
      <c r="AB975" s="68"/>
      <c r="AC975" s="68"/>
      <c r="AD975" s="68"/>
      <c r="AE975" s="68"/>
      <c r="AF975" s="68"/>
      <c r="AG975" s="68"/>
      <c r="AH975" s="68"/>
      <c r="AI975" s="68"/>
      <c r="AJ975" s="68"/>
      <c r="AK975" s="68"/>
      <c r="AL975" s="68"/>
      <c r="AM975" s="68"/>
      <c r="AN975" s="68"/>
      <c r="AO975" s="68"/>
      <c r="AP975" s="163"/>
      <c r="AQ975" s="163"/>
      <c r="AR975" s="163"/>
      <c r="AS975" s="163"/>
      <c r="AT975" s="163"/>
    </row>
    <row r="976" spans="9:49" s="164" customFormat="1" x14ac:dyDescent="0.2">
      <c r="I976" s="166"/>
      <c r="O976" s="68"/>
      <c r="P976" s="68"/>
      <c r="Q976" s="68"/>
      <c r="R976" s="68"/>
      <c r="S976" s="68"/>
      <c r="T976" s="68"/>
      <c r="U976" s="68"/>
      <c r="V976" s="68"/>
      <c r="W976" s="68"/>
      <c r="X976" s="68"/>
      <c r="Y976" s="68"/>
      <c r="Z976" s="68"/>
      <c r="AA976" s="68"/>
      <c r="AB976" s="68"/>
      <c r="AC976" s="68"/>
      <c r="AD976" s="68"/>
      <c r="AE976" s="68"/>
      <c r="AF976" s="68"/>
      <c r="AG976" s="68"/>
      <c r="AH976" s="68"/>
      <c r="AI976" s="68"/>
      <c r="AJ976" s="68"/>
      <c r="AK976" s="68"/>
      <c r="AL976" s="68"/>
      <c r="AM976" s="68"/>
      <c r="AN976" s="68"/>
      <c r="AO976" s="68"/>
      <c r="AP976" s="68"/>
      <c r="AQ976" s="68"/>
      <c r="AR976" s="68"/>
      <c r="AS976" s="68"/>
      <c r="AT976" s="68"/>
      <c r="AU976" s="69"/>
      <c r="AV976" s="69"/>
      <c r="AW976" s="69"/>
    </row>
  </sheetData>
  <mergeCells count="31">
    <mergeCell ref="H7:I7"/>
    <mergeCell ref="M7:M8"/>
    <mergeCell ref="A6:I6"/>
    <mergeCell ref="F7:F8"/>
    <mergeCell ref="A5:C5"/>
    <mergeCell ref="D5:O5"/>
    <mergeCell ref="E7:E8"/>
    <mergeCell ref="J7:J8"/>
    <mergeCell ref="O6:O8"/>
    <mergeCell ref="J6:K6"/>
    <mergeCell ref="A1:O1"/>
    <mergeCell ref="A2:C2"/>
    <mergeCell ref="A3:C3"/>
    <mergeCell ref="K7:K8"/>
    <mergeCell ref="L6:M6"/>
    <mergeCell ref="N6:N8"/>
    <mergeCell ref="L7:L8"/>
    <mergeCell ref="B7:B8"/>
    <mergeCell ref="A7:A8"/>
    <mergeCell ref="A4:C4"/>
    <mergeCell ref="G7:G8"/>
    <mergeCell ref="C7:C8"/>
    <mergeCell ref="D7:D8"/>
    <mergeCell ref="J4:O4"/>
    <mergeCell ref="D4:H4"/>
    <mergeCell ref="D2:H2"/>
    <mergeCell ref="J2:O2"/>
    <mergeCell ref="G3:H3"/>
    <mergeCell ref="K3:L3"/>
    <mergeCell ref="M3:O3"/>
    <mergeCell ref="D3:F3"/>
  </mergeCells>
  <phoneticPr fontId="0" type="noConversion"/>
  <printOptions horizontalCentered="1" verticalCentered="1"/>
  <pageMargins left="0" right="0" top="1" bottom="1" header="0.5" footer="0.5"/>
  <pageSetup scale="43" orientation="landscape" horizontalDpi="4294967292" r:id="rId1"/>
  <headerFooter alignWithMargins="0"/>
  <colBreaks count="1" manualBreakCount="1">
    <brk id="15" max="1048575" man="1"/>
  </colBreaks>
  <drawing r:id="rId2"/>
  <legacyDrawing r:id="rId3"/>
  <legacyDrawingHF r:id="rId4"/>
  <controls>
    <mc:AlternateContent xmlns:mc="http://schemas.openxmlformats.org/markup-compatibility/2006">
      <mc:Choice Requires="x14">
        <control shapeId="3210" r:id="rId5" name="Delete_results">
          <controlPr defaultSize="0" autoLine="0" autoPict="0" r:id="rId6">
            <anchor moveWithCells="1">
              <from>
                <xdr:col>0</xdr:col>
                <xdr:colOff>95250</xdr:colOff>
                <xdr:row>0</xdr:row>
                <xdr:rowOff>0</xdr:rowOff>
              </from>
              <to>
                <xdr:col>0</xdr:col>
                <xdr:colOff>247650</xdr:colOff>
                <xdr:row>0</xdr:row>
                <xdr:rowOff>28575</xdr:rowOff>
              </to>
            </anchor>
          </controlPr>
        </control>
      </mc:Choice>
      <mc:Fallback>
        <control shapeId="3210" r:id="rId5" name="Delete_result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BX17"/>
  <sheetViews>
    <sheetView view="pageBreakPreview" zoomScale="106" zoomScaleNormal="75" zoomScaleSheetLayoutView="106" workbookViewId="0">
      <selection activeCell="M13" sqref="M13"/>
    </sheetView>
  </sheetViews>
  <sheetFormatPr defaultRowHeight="12.75" x14ac:dyDescent="0.2"/>
  <cols>
    <col min="1" max="2" width="11" style="21" customWidth="1"/>
    <col min="3" max="3" width="12.28515625" style="21" customWidth="1"/>
    <col min="4" max="4" width="15.140625" style="21" customWidth="1"/>
    <col min="5" max="5" width="13.7109375" style="21" customWidth="1"/>
    <col min="6" max="6" width="10.85546875" style="21" customWidth="1"/>
    <col min="7" max="7" width="8.7109375" style="21" customWidth="1"/>
    <col min="8" max="8" width="10.140625" style="21" customWidth="1"/>
    <col min="9" max="9" width="14.5703125" style="21" customWidth="1"/>
    <col min="10" max="10" width="18.42578125" style="21" customWidth="1"/>
    <col min="11" max="11" width="15.85546875" style="21" customWidth="1"/>
    <col min="12" max="12" width="9.140625" style="21"/>
    <col min="13" max="13" width="16" style="21" customWidth="1"/>
    <col min="14" max="14" width="14.7109375" style="21" customWidth="1"/>
    <col min="15" max="15" width="19.85546875" style="21" customWidth="1"/>
    <col min="16" max="16" width="9.140625" style="21"/>
    <col min="17" max="17" width="11.85546875" style="21" customWidth="1"/>
    <col min="18" max="18" width="10.140625" style="21" customWidth="1"/>
    <col min="19" max="25" width="9.140625" style="21"/>
    <col min="26" max="26" width="12" style="21" customWidth="1"/>
    <col min="27" max="27" width="9.140625" style="21" customWidth="1"/>
    <col min="28" max="28" width="5.28515625" style="21" hidden="1" customWidth="1"/>
    <col min="29" max="29" width="7.42578125" style="21" hidden="1" customWidth="1"/>
    <col min="30" max="30" width="6" style="21" hidden="1" customWidth="1"/>
    <col min="31" max="31" width="9.140625" style="21" hidden="1" customWidth="1"/>
    <col min="32" max="32" width="4" style="21" hidden="1" customWidth="1"/>
    <col min="33" max="33" width="5.28515625" style="21" hidden="1" customWidth="1"/>
    <col min="34" max="34" width="4.85546875" style="21" hidden="1" customWidth="1"/>
    <col min="35" max="35" width="15.140625" style="21" hidden="1" customWidth="1"/>
    <col min="36" max="36" width="9.42578125" style="21" hidden="1" customWidth="1"/>
    <col min="37" max="37" width="5.140625" style="21" hidden="1" customWidth="1"/>
    <col min="38" max="39" width="5.7109375" style="21" hidden="1" customWidth="1"/>
    <col min="40" max="40" width="4.140625" style="21" hidden="1" customWidth="1"/>
    <col min="41" max="41" width="5.28515625" style="21" hidden="1" customWidth="1"/>
    <col min="42" max="42" width="4" style="21" hidden="1" customWidth="1"/>
    <col min="43" max="43" width="6.28515625" style="21" hidden="1" customWidth="1"/>
    <col min="44" max="45" width="5.42578125" style="21" hidden="1" customWidth="1"/>
    <col min="46" max="46" width="4.85546875" style="21" hidden="1" customWidth="1"/>
    <col min="47" max="47" width="5.140625" style="21" hidden="1" customWidth="1"/>
    <col min="48" max="48" width="5.28515625" style="21" hidden="1" customWidth="1"/>
    <col min="49" max="49" width="5.140625" style="21" hidden="1" customWidth="1"/>
    <col min="50" max="50" width="4.85546875" style="21" hidden="1" customWidth="1"/>
    <col min="51" max="51" width="4.7109375" style="21" hidden="1" customWidth="1"/>
    <col min="52" max="52" width="3.7109375" style="21" hidden="1" customWidth="1"/>
    <col min="53" max="53" width="3.5703125" style="21" hidden="1" customWidth="1"/>
    <col min="54" max="54" width="5" style="21" hidden="1" customWidth="1"/>
    <col min="55" max="55" width="4.85546875" style="21" hidden="1" customWidth="1"/>
    <col min="56" max="56" width="5.140625" style="21" hidden="1" customWidth="1"/>
    <col min="57" max="57" width="4.85546875" style="21" hidden="1" customWidth="1"/>
    <col min="58" max="58" width="4" style="21" hidden="1" customWidth="1"/>
    <col min="59" max="61" width="4.140625" style="21" hidden="1" customWidth="1"/>
    <col min="62" max="62" width="3.42578125" style="21" hidden="1" customWidth="1"/>
    <col min="63" max="70" width="3.5703125" style="21" hidden="1" customWidth="1"/>
    <col min="71" max="76" width="4.42578125" style="21" hidden="1" customWidth="1"/>
    <col min="77" max="16384" width="9.140625" style="21"/>
  </cols>
  <sheetData>
    <row r="1" spans="1:76" ht="18" x14ac:dyDescent="0.25">
      <c r="A1" s="365" t="s">
        <v>370</v>
      </c>
      <c r="B1" s="365"/>
      <c r="C1" s="365"/>
      <c r="D1" s="365"/>
      <c r="E1" s="365"/>
      <c r="F1" s="365"/>
      <c r="G1" s="365"/>
      <c r="H1" s="365"/>
      <c r="I1" s="365"/>
      <c r="J1" s="365"/>
      <c r="K1" s="365"/>
      <c r="L1" s="365"/>
      <c r="M1" s="365"/>
      <c r="N1" s="365"/>
      <c r="O1" s="365"/>
      <c r="P1" s="365"/>
      <c r="Q1" s="365"/>
      <c r="R1" s="365"/>
      <c r="AB1" s="98" t="s">
        <v>93</v>
      </c>
      <c r="AC1" s="98" t="s">
        <v>84</v>
      </c>
      <c r="AD1" s="98" t="s">
        <v>87</v>
      </c>
      <c r="AE1" s="98" t="s">
        <v>96</v>
      </c>
      <c r="AF1" s="98" t="s">
        <v>90</v>
      </c>
      <c r="AG1" s="98" t="s">
        <v>99</v>
      </c>
      <c r="AH1" s="98" t="s">
        <v>102</v>
      </c>
      <c r="AI1" s="98" t="s">
        <v>262</v>
      </c>
      <c r="AJ1" s="98" t="s">
        <v>263</v>
      </c>
      <c r="AK1" s="98" t="s">
        <v>264</v>
      </c>
      <c r="AL1" s="98"/>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row>
    <row r="2" spans="1:76" s="100" customFormat="1" ht="25.5" x14ac:dyDescent="0.2">
      <c r="A2" s="92" t="s">
        <v>6</v>
      </c>
      <c r="B2" s="366" t="str">
        <f>IF('Test Plan &amp; Results Summary'!C2="","",'Test Plan &amp; Results Summary'!C2)</f>
        <v/>
      </c>
      <c r="C2" s="367"/>
      <c r="D2" s="368"/>
      <c r="E2" s="92" t="s">
        <v>7</v>
      </c>
      <c r="F2" s="369" t="str">
        <f>IF('Test Plan &amp; Results Summary'!E2="","",'Test Plan &amp; Results Summary'!E2)</f>
        <v>Camera Annotations</v>
      </c>
      <c r="G2" s="370"/>
      <c r="H2" s="370"/>
      <c r="I2" s="370"/>
      <c r="J2" s="371"/>
      <c r="K2" s="93" t="s">
        <v>306</v>
      </c>
      <c r="L2" s="372"/>
      <c r="M2" s="372"/>
      <c r="N2" s="372"/>
      <c r="O2" s="372"/>
      <c r="P2" s="372"/>
      <c r="Q2" s="372"/>
      <c r="R2" s="372"/>
      <c r="AB2" s="98" t="s">
        <v>105</v>
      </c>
      <c r="AC2" s="98" t="s">
        <v>108</v>
      </c>
      <c r="AD2" s="98" t="s">
        <v>111</v>
      </c>
      <c r="AE2" s="98" t="s">
        <v>114</v>
      </c>
      <c r="AF2" s="98" t="s">
        <v>116</v>
      </c>
      <c r="AG2" s="98" t="s">
        <v>119</v>
      </c>
      <c r="AH2" s="98" t="s">
        <v>259</v>
      </c>
      <c r="AI2" s="98" t="s">
        <v>125</v>
      </c>
      <c r="AJ2" s="98" t="s">
        <v>128</v>
      </c>
      <c r="AK2" s="98" t="s">
        <v>131</v>
      </c>
      <c r="AL2" s="98" t="s">
        <v>133</v>
      </c>
      <c r="AM2" s="98" t="s">
        <v>136</v>
      </c>
      <c r="AN2" s="98" t="s">
        <v>138</v>
      </c>
      <c r="AO2" s="98" t="s">
        <v>139</v>
      </c>
      <c r="AP2" s="98" t="s">
        <v>142</v>
      </c>
      <c r="AQ2" s="98" t="s">
        <v>143</v>
      </c>
      <c r="AR2" s="98" t="s">
        <v>146</v>
      </c>
      <c r="AS2" s="98" t="s">
        <v>149</v>
      </c>
      <c r="AT2" s="98" t="s">
        <v>151</v>
      </c>
      <c r="AU2" s="98" t="s">
        <v>154</v>
      </c>
      <c r="AV2" s="98" t="s">
        <v>157</v>
      </c>
      <c r="AW2" s="98" t="s">
        <v>160</v>
      </c>
      <c r="AX2" s="98" t="s">
        <v>163</v>
      </c>
      <c r="AY2" s="98" t="s">
        <v>166</v>
      </c>
      <c r="AZ2" s="98" t="s">
        <v>169</v>
      </c>
      <c r="BA2" s="98" t="s">
        <v>171</v>
      </c>
      <c r="BB2" s="98" t="s">
        <v>174</v>
      </c>
      <c r="BC2" s="98" t="s">
        <v>177</v>
      </c>
      <c r="BD2" s="98" t="s">
        <v>180</v>
      </c>
      <c r="BE2" s="98" t="s">
        <v>182</v>
      </c>
      <c r="BF2" s="98" t="s">
        <v>185</v>
      </c>
      <c r="BG2" s="98" t="s">
        <v>188</v>
      </c>
      <c r="BH2" s="101" t="s">
        <v>351</v>
      </c>
      <c r="BI2" s="101" t="s">
        <v>352</v>
      </c>
      <c r="BJ2" s="102" t="s">
        <v>341</v>
      </c>
      <c r="BK2" s="102" t="s">
        <v>342</v>
      </c>
      <c r="BL2" s="102" t="s">
        <v>343</v>
      </c>
      <c r="BM2" s="102" t="s">
        <v>262</v>
      </c>
      <c r="BN2" s="102" t="s">
        <v>263</v>
      </c>
      <c r="BO2" s="102" t="s">
        <v>264</v>
      </c>
      <c r="BP2" s="102" t="s">
        <v>265</v>
      </c>
      <c r="BQ2" s="102" t="s">
        <v>266</v>
      </c>
      <c r="BR2" s="102" t="s">
        <v>267</v>
      </c>
      <c r="BS2" s="102" t="s">
        <v>268</v>
      </c>
      <c r="BT2" s="102" t="s">
        <v>269</v>
      </c>
      <c r="BU2" s="102" t="s">
        <v>270</v>
      </c>
      <c r="BV2" s="102" t="s">
        <v>271</v>
      </c>
      <c r="BW2" s="102" t="s">
        <v>272</v>
      </c>
      <c r="BX2" s="102" t="s">
        <v>309</v>
      </c>
    </row>
    <row r="3" spans="1:76" s="100" customFormat="1" ht="25.5" x14ac:dyDescent="0.2">
      <c r="A3" s="93" t="s">
        <v>359</v>
      </c>
      <c r="B3" s="366"/>
      <c r="C3" s="367"/>
      <c r="D3" s="368"/>
      <c r="E3" s="93" t="s">
        <v>261</v>
      </c>
      <c r="F3" s="372"/>
      <c r="G3" s="372"/>
      <c r="H3" s="372"/>
      <c r="I3" s="372"/>
      <c r="J3" s="372"/>
      <c r="K3" s="94"/>
      <c r="L3" s="371"/>
      <c r="M3" s="372"/>
      <c r="N3" s="372"/>
      <c r="O3" s="372"/>
      <c r="P3" s="372"/>
      <c r="Q3" s="372"/>
      <c r="R3" s="372"/>
    </row>
    <row r="4" spans="1:76" s="22" customFormat="1" ht="38.25" customHeight="1" x14ac:dyDescent="0.2">
      <c r="A4" s="93" t="s">
        <v>360</v>
      </c>
      <c r="B4" s="93" t="s">
        <v>358</v>
      </c>
      <c r="C4" s="93" t="s">
        <v>46</v>
      </c>
      <c r="D4" s="93" t="s">
        <v>375</v>
      </c>
      <c r="E4" s="375" t="s">
        <v>361</v>
      </c>
      <c r="F4" s="376"/>
      <c r="G4" s="93" t="s">
        <v>40</v>
      </c>
      <c r="H4" s="93" t="s">
        <v>362</v>
      </c>
      <c r="I4" s="93" t="s">
        <v>371</v>
      </c>
      <c r="J4" s="93" t="s">
        <v>8</v>
      </c>
      <c r="K4" s="93" t="s">
        <v>38</v>
      </c>
      <c r="L4" s="93" t="s">
        <v>9</v>
      </c>
      <c r="M4" s="93" t="s">
        <v>217</v>
      </c>
      <c r="N4" s="95" t="s">
        <v>49</v>
      </c>
      <c r="O4" s="93" t="s">
        <v>11</v>
      </c>
      <c r="P4" s="93" t="s">
        <v>12</v>
      </c>
      <c r="Q4" s="93" t="s">
        <v>209</v>
      </c>
      <c r="R4" s="93" t="s">
        <v>363</v>
      </c>
    </row>
    <row r="5" spans="1:76" s="132" customFormat="1" ht="42" customHeight="1" x14ac:dyDescent="0.25">
      <c r="A5" s="129"/>
      <c r="B5" s="129"/>
      <c r="C5" s="129"/>
      <c r="D5" s="130"/>
      <c r="E5" s="373"/>
      <c r="F5" s="374"/>
      <c r="G5" s="129"/>
      <c r="H5" s="129"/>
      <c r="I5" s="129"/>
      <c r="J5" s="129"/>
      <c r="K5" s="129"/>
      <c r="L5" s="129"/>
      <c r="M5" s="129"/>
      <c r="N5" s="131"/>
      <c r="O5" s="129"/>
      <c r="P5" s="129"/>
      <c r="Q5" s="130"/>
      <c r="R5" s="129"/>
      <c r="AB5" s="20"/>
      <c r="AC5" s="20"/>
      <c r="AD5" s="20"/>
      <c r="AE5" s="20"/>
      <c r="AF5" s="20"/>
      <c r="AG5" s="133"/>
      <c r="AH5" s="134"/>
      <c r="AI5" s="134"/>
      <c r="AJ5" s="134"/>
      <c r="AK5" s="134"/>
      <c r="AL5" s="134"/>
      <c r="AM5" s="134"/>
      <c r="AN5" s="134"/>
      <c r="AO5" s="134"/>
      <c r="AP5" s="134"/>
      <c r="AQ5" s="134"/>
      <c r="AR5" s="134"/>
      <c r="AS5" s="134"/>
      <c r="AT5" s="134"/>
      <c r="AU5" s="135"/>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row>
    <row r="6" spans="1:76" s="136" customFormat="1" ht="43.5" customHeight="1" x14ac:dyDescent="0.25">
      <c r="A6" s="129"/>
      <c r="B6" s="129"/>
      <c r="C6" s="129"/>
      <c r="D6" s="130"/>
      <c r="E6" s="373"/>
      <c r="F6" s="374"/>
      <c r="G6" s="129"/>
      <c r="H6" s="129"/>
      <c r="I6" s="129"/>
      <c r="J6" s="129"/>
      <c r="K6" s="129"/>
      <c r="L6" s="129"/>
      <c r="M6" s="129"/>
      <c r="N6" s="131"/>
      <c r="O6" s="129"/>
      <c r="P6" s="129"/>
      <c r="Q6" s="130"/>
      <c r="R6" s="129"/>
    </row>
    <row r="7" spans="1:76" s="136" customFormat="1" ht="30.75" customHeight="1" x14ac:dyDescent="0.25">
      <c r="A7" s="129"/>
      <c r="B7" s="129"/>
      <c r="C7" s="129"/>
      <c r="D7" s="129"/>
      <c r="E7" s="373"/>
      <c r="F7" s="374"/>
      <c r="G7" s="129"/>
      <c r="H7" s="129"/>
      <c r="I7" s="129"/>
      <c r="J7" s="129"/>
      <c r="K7" s="129"/>
      <c r="L7" s="129"/>
      <c r="M7" s="129"/>
      <c r="N7" s="131"/>
      <c r="O7" s="129"/>
      <c r="P7" s="129"/>
      <c r="Q7" s="129"/>
      <c r="R7" s="129"/>
    </row>
    <row r="8" spans="1:76" s="136" customFormat="1" ht="30" customHeight="1" x14ac:dyDescent="0.25">
      <c r="A8" s="129"/>
      <c r="B8" s="129"/>
      <c r="C8" s="129"/>
      <c r="D8" s="129"/>
      <c r="E8" s="373"/>
      <c r="F8" s="374"/>
      <c r="G8" s="129"/>
      <c r="H8" s="129"/>
      <c r="I8" s="129"/>
      <c r="J8" s="129"/>
      <c r="K8" s="129"/>
      <c r="L8" s="129"/>
      <c r="M8" s="129"/>
      <c r="N8" s="131"/>
      <c r="O8" s="129"/>
      <c r="P8" s="129"/>
      <c r="Q8" s="129"/>
      <c r="R8" s="129"/>
    </row>
    <row r="9" spans="1:76" s="136" customFormat="1" ht="30" customHeight="1" x14ac:dyDescent="0.25">
      <c r="A9" s="129"/>
      <c r="B9" s="129"/>
      <c r="C9" s="129"/>
      <c r="D9" s="129"/>
      <c r="E9" s="373"/>
      <c r="F9" s="374"/>
      <c r="G9" s="129"/>
      <c r="H9" s="129"/>
      <c r="I9" s="129"/>
      <c r="J9" s="129"/>
      <c r="K9" s="129"/>
      <c r="L9" s="129"/>
      <c r="M9" s="129"/>
      <c r="N9" s="131"/>
      <c r="O9" s="129"/>
      <c r="P9" s="129"/>
      <c r="Q9" s="129"/>
      <c r="R9" s="129"/>
    </row>
    <row r="10" spans="1:76" s="136" customFormat="1" ht="29.25" customHeight="1" x14ac:dyDescent="0.25">
      <c r="A10" s="129"/>
      <c r="B10" s="129"/>
      <c r="C10" s="129"/>
      <c r="D10" s="129"/>
      <c r="E10" s="373"/>
      <c r="F10" s="374"/>
      <c r="G10" s="129"/>
      <c r="H10" s="129"/>
      <c r="I10" s="129"/>
      <c r="J10" s="129"/>
      <c r="K10" s="129"/>
      <c r="L10" s="129"/>
      <c r="M10" s="129"/>
      <c r="N10" s="131"/>
      <c r="O10" s="129"/>
      <c r="P10" s="129"/>
      <c r="Q10" s="129"/>
      <c r="R10" s="129"/>
    </row>
    <row r="11" spans="1:76" s="136" customFormat="1" ht="29.25" customHeight="1" x14ac:dyDescent="0.25">
      <c r="A11" s="129"/>
      <c r="B11" s="129"/>
      <c r="C11" s="129"/>
      <c r="D11" s="129"/>
      <c r="E11" s="373"/>
      <c r="F11" s="374"/>
      <c r="G11" s="129"/>
      <c r="H11" s="129"/>
      <c r="I11" s="129"/>
      <c r="J11" s="129"/>
      <c r="K11" s="129"/>
      <c r="L11" s="129"/>
      <c r="M11" s="129"/>
      <c r="N11" s="131"/>
      <c r="O11" s="129"/>
      <c r="P11" s="129"/>
      <c r="Q11" s="129"/>
      <c r="R11" s="129"/>
    </row>
    <row r="12" spans="1:76" s="136" customFormat="1" ht="30" customHeight="1" x14ac:dyDescent="0.25">
      <c r="A12" s="129"/>
      <c r="B12" s="129"/>
      <c r="C12" s="129"/>
      <c r="D12" s="129"/>
      <c r="E12" s="373"/>
      <c r="F12" s="374"/>
      <c r="G12" s="129"/>
      <c r="H12" s="129"/>
      <c r="I12" s="129"/>
      <c r="J12" s="129"/>
      <c r="K12" s="129"/>
      <c r="L12" s="129"/>
      <c r="M12" s="129"/>
      <c r="N12" s="131"/>
      <c r="O12" s="129"/>
      <c r="P12" s="129"/>
      <c r="Q12" s="129"/>
      <c r="R12" s="129"/>
    </row>
    <row r="13" spans="1:76" s="136" customFormat="1" ht="33" customHeight="1" x14ac:dyDescent="0.25">
      <c r="A13" s="129"/>
      <c r="B13" s="129"/>
      <c r="C13" s="129"/>
      <c r="D13" s="129"/>
      <c r="E13" s="373"/>
      <c r="F13" s="374"/>
      <c r="G13" s="129"/>
      <c r="H13" s="129"/>
      <c r="I13" s="129"/>
      <c r="J13" s="129"/>
      <c r="K13" s="129"/>
      <c r="L13" s="129"/>
      <c r="M13" s="129"/>
      <c r="N13" s="131"/>
      <c r="O13" s="129"/>
      <c r="P13" s="129"/>
      <c r="Q13" s="129"/>
      <c r="R13" s="129"/>
    </row>
    <row r="14" spans="1:76" s="136" customFormat="1" ht="28.5" customHeight="1" x14ac:dyDescent="0.25">
      <c r="A14" s="129"/>
      <c r="B14" s="129"/>
      <c r="C14" s="129"/>
      <c r="D14" s="129"/>
      <c r="E14" s="373"/>
      <c r="F14" s="374"/>
      <c r="G14" s="129"/>
      <c r="H14" s="129"/>
      <c r="I14" s="129"/>
      <c r="J14" s="129"/>
      <c r="K14" s="129"/>
      <c r="L14" s="129"/>
      <c r="M14" s="129"/>
      <c r="N14" s="131"/>
      <c r="O14" s="129"/>
      <c r="P14" s="129"/>
      <c r="Q14" s="129"/>
      <c r="R14" s="129"/>
    </row>
    <row r="15" spans="1:76" s="136" customFormat="1" ht="29.25" customHeight="1" x14ac:dyDescent="0.25">
      <c r="A15" s="129"/>
      <c r="B15" s="129"/>
      <c r="C15" s="129"/>
      <c r="D15" s="129"/>
      <c r="E15" s="373"/>
      <c r="F15" s="374"/>
      <c r="G15" s="129"/>
      <c r="H15" s="129"/>
      <c r="I15" s="129"/>
      <c r="J15" s="129"/>
      <c r="K15" s="129"/>
      <c r="L15" s="129"/>
      <c r="M15" s="129"/>
      <c r="N15" s="131"/>
      <c r="O15" s="129"/>
      <c r="P15" s="129"/>
      <c r="Q15" s="129"/>
      <c r="R15" s="129"/>
    </row>
    <row r="16" spans="1:76" s="136" customFormat="1" ht="29.25" customHeight="1" x14ac:dyDescent="0.25">
      <c r="A16" s="129"/>
      <c r="B16" s="129"/>
      <c r="C16" s="129"/>
      <c r="D16" s="129"/>
      <c r="E16" s="373"/>
      <c r="F16" s="374"/>
      <c r="G16" s="129"/>
      <c r="H16" s="129"/>
      <c r="I16" s="129"/>
      <c r="J16" s="129"/>
      <c r="K16" s="129"/>
      <c r="L16" s="129"/>
      <c r="M16" s="129"/>
      <c r="N16" s="131"/>
      <c r="O16" s="129"/>
      <c r="P16" s="129"/>
      <c r="Q16" s="129"/>
      <c r="R16" s="129"/>
    </row>
    <row r="17" spans="1:18" s="136" customFormat="1" ht="15" x14ac:dyDescent="0.25">
      <c r="A17" s="129"/>
      <c r="B17" s="129"/>
      <c r="C17" s="129"/>
      <c r="D17" s="129"/>
      <c r="E17" s="373"/>
      <c r="F17" s="374"/>
      <c r="G17" s="129"/>
      <c r="H17" s="129"/>
      <c r="I17" s="129"/>
      <c r="J17" s="129"/>
      <c r="K17" s="129"/>
      <c r="L17" s="129"/>
      <c r="M17" s="129"/>
      <c r="N17" s="131"/>
      <c r="O17" s="129"/>
      <c r="P17" s="129"/>
      <c r="Q17" s="129"/>
      <c r="R17" s="129"/>
    </row>
  </sheetData>
  <mergeCells count="21">
    <mergeCell ref="E17:F17"/>
    <mergeCell ref="E4:F4"/>
    <mergeCell ref="E8:F8"/>
    <mergeCell ref="E9:F9"/>
    <mergeCell ref="E14:F14"/>
    <mergeCell ref="E15:F15"/>
    <mergeCell ref="E13:F13"/>
    <mergeCell ref="E7:F7"/>
    <mergeCell ref="E16:F16"/>
    <mergeCell ref="E10:F10"/>
    <mergeCell ref="E12:F12"/>
    <mergeCell ref="E5:F5"/>
    <mergeCell ref="E6:F6"/>
    <mergeCell ref="E11:F11"/>
    <mergeCell ref="A1:R1"/>
    <mergeCell ref="B2:D2"/>
    <mergeCell ref="F2:J2"/>
    <mergeCell ref="L2:R2"/>
    <mergeCell ref="B3:D3"/>
    <mergeCell ref="L3:R3"/>
    <mergeCell ref="F3:J3"/>
  </mergeCells>
  <phoneticPr fontId="0" type="noConversion"/>
  <dataValidations count="6">
    <dataValidation type="list" allowBlank="1" showInputMessage="1" showErrorMessage="1" sqref="K5:K17">
      <formula1>"Fatal,Serious,Minor,Cosmetic"</formula1>
    </dataValidation>
    <dataValidation type="list" allowBlank="1" showInputMessage="1" showErrorMessage="1" sqref="L5:L17">
      <formula1>"CO,OV,UN,RW,TR,TC,SC,O"</formula1>
    </dataValidation>
    <dataValidation type="list" allowBlank="1" showInputMessage="1" showErrorMessage="1" sqref="P5:P17">
      <formula1>"Open,Fixed,Fixed and Closed,Rejected"</formula1>
    </dataValidation>
    <dataValidation type="list" allowBlank="1" showInputMessage="1" showErrorMessage="1" sqref="J5:J17">
      <formula1>"AI,AM,BC,BLT,CH,CON,DC,DO,HAC,ID,IM,IN,INU,LC,LD,LF,MED,MFI,MS,OPE,PRC,PSC,REE,REL,RS,SE,SEQ,SHF,SOC,STR,TIS,WS,FRO,CFI,IMM,NS,CL,SG,O1-O11"</formula1>
    </dataValidation>
    <dataValidation type="list" allowBlank="1" showInputMessage="1" showErrorMessage="1" sqref="B5:B17">
      <formula1>"Unit Testing,Integration testing,Hardware Module Testing,System testing,Validation Testing"</formula1>
    </dataValidation>
    <dataValidation type="list" allowBlank="1" showInputMessage="1" showErrorMessage="1" sqref="M5:M17">
      <formula1>"REQ,HLD,HWD/MechD/DFMEA,DLD/SWD,SCH,BOM,CMP,LIB,PCB,CO,UTPC,ITPC,MTP,VTP,STP"</formula1>
    </dataValidation>
  </dataValidations>
  <printOptions horizontalCentered="1" verticalCentered="1"/>
  <pageMargins left="0.75" right="0.75" top="1.25" bottom="1" header="0.75" footer="0.5"/>
  <pageSetup scale="53" orientation="landscape" horizontalDpi="4294967292" verticalDpi="300" r:id="rId1"/>
  <headerFooter alignWithMargins="0"/>
  <legacy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81"/>
  <sheetViews>
    <sheetView view="pageBreakPreview" zoomScaleNormal="75" workbookViewId="0">
      <selection activeCell="A2" sqref="A2:C2"/>
    </sheetView>
  </sheetViews>
  <sheetFormatPr defaultRowHeight="12.75" x14ac:dyDescent="0.2"/>
  <cols>
    <col min="1" max="1" width="9.140625" style="34"/>
    <col min="2" max="2" width="37.42578125" style="69" customWidth="1"/>
    <col min="3" max="3" width="97.7109375" style="34" customWidth="1"/>
    <col min="4" max="23" width="9.140625" style="33"/>
    <col min="24" max="16384" width="9.140625" style="34"/>
  </cols>
  <sheetData>
    <row r="1" spans="1:23" ht="18.75" thickBot="1" x14ac:dyDescent="0.3">
      <c r="A1" s="377" t="s">
        <v>34</v>
      </c>
      <c r="B1" s="378"/>
      <c r="C1" s="379"/>
    </row>
    <row r="2" spans="1:23" s="36" customFormat="1" ht="15" x14ac:dyDescent="0.2">
      <c r="A2" s="380" t="s">
        <v>33</v>
      </c>
      <c r="B2" s="381"/>
      <c r="C2" s="382"/>
      <c r="D2" s="35"/>
      <c r="E2" s="35"/>
      <c r="F2" s="35"/>
      <c r="G2" s="35"/>
      <c r="H2" s="35"/>
      <c r="I2" s="35"/>
      <c r="J2" s="35"/>
      <c r="K2" s="35"/>
      <c r="L2" s="35"/>
      <c r="M2" s="35"/>
      <c r="N2" s="35"/>
      <c r="O2" s="35"/>
      <c r="P2" s="35"/>
      <c r="Q2" s="35"/>
      <c r="R2" s="35"/>
      <c r="S2" s="35"/>
      <c r="T2" s="35"/>
      <c r="U2" s="35"/>
      <c r="V2" s="35"/>
      <c r="W2" s="35"/>
    </row>
    <row r="3" spans="1:23" s="36" customFormat="1" ht="15" x14ac:dyDescent="0.2">
      <c r="A3" s="55" t="s">
        <v>23</v>
      </c>
      <c r="B3" s="88" t="s">
        <v>274</v>
      </c>
      <c r="C3" s="56" t="s">
        <v>24</v>
      </c>
      <c r="D3" s="35"/>
      <c r="E3" s="35"/>
      <c r="F3" s="35"/>
      <c r="G3" s="35"/>
      <c r="H3" s="35"/>
      <c r="I3" s="35"/>
      <c r="J3" s="35"/>
      <c r="K3" s="35"/>
      <c r="L3" s="35"/>
      <c r="M3" s="35"/>
      <c r="N3" s="35"/>
      <c r="O3" s="35"/>
      <c r="P3" s="35"/>
      <c r="Q3" s="35"/>
      <c r="R3" s="35"/>
      <c r="S3" s="35"/>
      <c r="T3" s="35"/>
      <c r="U3" s="35"/>
      <c r="V3" s="35"/>
      <c r="W3" s="35"/>
    </row>
    <row r="4" spans="1:23" ht="102" x14ac:dyDescent="0.2">
      <c r="A4" s="57">
        <v>1</v>
      </c>
      <c r="B4" s="87" t="s">
        <v>331</v>
      </c>
      <c r="C4" s="50" t="s">
        <v>327</v>
      </c>
    </row>
    <row r="5" spans="1:23" x14ac:dyDescent="0.2">
      <c r="A5" s="57">
        <v>2</v>
      </c>
      <c r="B5" s="58" t="s">
        <v>45</v>
      </c>
      <c r="C5" s="59" t="s">
        <v>50</v>
      </c>
    </row>
    <row r="6" spans="1:23" x14ac:dyDescent="0.2">
      <c r="A6" s="57">
        <v>3</v>
      </c>
      <c r="B6" s="58" t="s">
        <v>7</v>
      </c>
      <c r="C6" s="59" t="s">
        <v>51</v>
      </c>
    </row>
    <row r="7" spans="1:23" ht="25.5" x14ac:dyDescent="0.2">
      <c r="A7" s="57">
        <v>4</v>
      </c>
      <c r="B7" s="58" t="s">
        <v>42</v>
      </c>
      <c r="C7" s="59" t="s">
        <v>52</v>
      </c>
    </row>
    <row r="8" spans="1:23" ht="25.5" x14ac:dyDescent="0.2">
      <c r="A8" s="57">
        <v>5</v>
      </c>
      <c r="B8" s="58" t="s">
        <v>41</v>
      </c>
      <c r="C8" s="59" t="s">
        <v>339</v>
      </c>
    </row>
    <row r="9" spans="1:23" x14ac:dyDescent="0.2">
      <c r="A9" s="57">
        <v>6</v>
      </c>
      <c r="B9" s="87" t="s">
        <v>22</v>
      </c>
      <c r="C9" s="60" t="s">
        <v>53</v>
      </c>
    </row>
    <row r="10" spans="1:23" x14ac:dyDescent="0.2">
      <c r="A10" s="57">
        <v>7</v>
      </c>
      <c r="B10" s="58" t="s">
        <v>48</v>
      </c>
      <c r="C10" s="59" t="s">
        <v>54</v>
      </c>
    </row>
    <row r="11" spans="1:23" ht="25.5" x14ac:dyDescent="0.2">
      <c r="A11" s="57">
        <v>8</v>
      </c>
      <c r="B11" s="58" t="s">
        <v>28</v>
      </c>
      <c r="C11" s="59" t="s">
        <v>340</v>
      </c>
    </row>
    <row r="12" spans="1:23" x14ac:dyDescent="0.2">
      <c r="A12" s="57">
        <v>9</v>
      </c>
      <c r="B12" s="58" t="s">
        <v>29</v>
      </c>
      <c r="C12" s="59" t="s">
        <v>55</v>
      </c>
    </row>
    <row r="13" spans="1:23" x14ac:dyDescent="0.2">
      <c r="A13" s="57">
        <v>10</v>
      </c>
      <c r="B13" s="58" t="s">
        <v>15</v>
      </c>
      <c r="C13" s="59" t="s">
        <v>56</v>
      </c>
    </row>
    <row r="14" spans="1:23" x14ac:dyDescent="0.2">
      <c r="A14" s="57">
        <v>11</v>
      </c>
      <c r="B14" s="58" t="s">
        <v>78</v>
      </c>
      <c r="C14" s="59" t="s">
        <v>79</v>
      </c>
    </row>
    <row r="15" spans="1:23" ht="25.5" x14ac:dyDescent="0.2">
      <c r="A15" s="57">
        <v>12</v>
      </c>
      <c r="B15" s="58" t="s">
        <v>14</v>
      </c>
      <c r="C15" s="59" t="s">
        <v>312</v>
      </c>
    </row>
    <row r="16" spans="1:23" x14ac:dyDescent="0.2">
      <c r="A16" s="57">
        <v>13</v>
      </c>
      <c r="B16" s="58" t="s">
        <v>335</v>
      </c>
      <c r="C16" s="59" t="s">
        <v>336</v>
      </c>
    </row>
    <row r="17" spans="1:3" x14ac:dyDescent="0.2">
      <c r="A17" s="57">
        <v>14</v>
      </c>
      <c r="B17" s="58" t="s">
        <v>46</v>
      </c>
      <c r="C17" s="59" t="s">
        <v>224</v>
      </c>
    </row>
    <row r="18" spans="1:3" x14ac:dyDescent="0.2">
      <c r="A18" s="57">
        <v>15</v>
      </c>
      <c r="B18" s="87" t="s">
        <v>214</v>
      </c>
      <c r="C18" s="59" t="s">
        <v>281</v>
      </c>
    </row>
    <row r="19" spans="1:3" x14ac:dyDescent="0.2">
      <c r="A19" s="57">
        <v>16</v>
      </c>
      <c r="B19" s="87" t="s">
        <v>26</v>
      </c>
      <c r="C19" s="59" t="s">
        <v>225</v>
      </c>
    </row>
    <row r="20" spans="1:3" x14ac:dyDescent="0.2">
      <c r="A20" s="57">
        <v>17</v>
      </c>
      <c r="B20" s="87" t="s">
        <v>17</v>
      </c>
      <c r="C20" s="61" t="s">
        <v>57</v>
      </c>
    </row>
    <row r="21" spans="1:3" x14ac:dyDescent="0.2">
      <c r="A21" s="57">
        <v>18</v>
      </c>
      <c r="B21" s="87" t="s">
        <v>215</v>
      </c>
      <c r="C21" s="61" t="s">
        <v>204</v>
      </c>
    </row>
    <row r="22" spans="1:3" ht="25.5" x14ac:dyDescent="0.2">
      <c r="A22" s="57">
        <v>19</v>
      </c>
      <c r="B22" s="87" t="s">
        <v>216</v>
      </c>
      <c r="C22" s="60" t="s">
        <v>337</v>
      </c>
    </row>
    <row r="23" spans="1:3" x14ac:dyDescent="0.2">
      <c r="A23" s="57">
        <v>20</v>
      </c>
      <c r="B23" s="87" t="s">
        <v>197</v>
      </c>
      <c r="C23" s="60" t="s">
        <v>205</v>
      </c>
    </row>
    <row r="24" spans="1:3" x14ac:dyDescent="0.2">
      <c r="A24" s="57">
        <v>21</v>
      </c>
      <c r="B24" s="87" t="s">
        <v>202</v>
      </c>
      <c r="C24" s="60" t="s">
        <v>338</v>
      </c>
    </row>
    <row r="25" spans="1:3" x14ac:dyDescent="0.2">
      <c r="A25" s="57">
        <v>22</v>
      </c>
      <c r="B25" s="87" t="s">
        <v>199</v>
      </c>
      <c r="C25" s="60" t="s">
        <v>206</v>
      </c>
    </row>
    <row r="26" spans="1:3" ht="114.75" x14ac:dyDescent="0.2">
      <c r="A26" s="57">
        <v>23</v>
      </c>
      <c r="B26" s="87" t="s">
        <v>198</v>
      </c>
      <c r="C26" s="60" t="s">
        <v>207</v>
      </c>
    </row>
    <row r="27" spans="1:3" x14ac:dyDescent="0.2">
      <c r="A27" s="57">
        <v>24</v>
      </c>
      <c r="B27" s="87" t="s">
        <v>18</v>
      </c>
      <c r="C27" s="60" t="s">
        <v>58</v>
      </c>
    </row>
    <row r="28" spans="1:3" x14ac:dyDescent="0.2">
      <c r="A28" s="57">
        <v>25</v>
      </c>
      <c r="B28" s="87" t="s">
        <v>203</v>
      </c>
      <c r="C28" s="60" t="s">
        <v>208</v>
      </c>
    </row>
    <row r="29" spans="1:3" x14ac:dyDescent="0.2">
      <c r="A29" s="57">
        <v>26</v>
      </c>
      <c r="B29" s="87" t="s">
        <v>285</v>
      </c>
      <c r="C29" s="60" t="s">
        <v>286</v>
      </c>
    </row>
    <row r="30" spans="1:3" x14ac:dyDescent="0.2">
      <c r="A30" s="57">
        <v>27</v>
      </c>
      <c r="B30" s="87" t="s">
        <v>39</v>
      </c>
      <c r="C30" s="60" t="s">
        <v>61</v>
      </c>
    </row>
    <row r="31" spans="1:3" x14ac:dyDescent="0.2">
      <c r="A31" s="57">
        <v>28</v>
      </c>
      <c r="B31" s="87" t="s">
        <v>20</v>
      </c>
      <c r="C31" s="60" t="s">
        <v>59</v>
      </c>
    </row>
    <row r="32" spans="1:3" x14ac:dyDescent="0.2">
      <c r="A32" s="57">
        <v>29</v>
      </c>
      <c r="B32" s="87" t="s">
        <v>21</v>
      </c>
      <c r="C32" s="60" t="s">
        <v>60</v>
      </c>
    </row>
    <row r="33" spans="1:3" ht="63.75" x14ac:dyDescent="0.2">
      <c r="A33" s="57">
        <v>30</v>
      </c>
      <c r="B33" s="87" t="s">
        <v>40</v>
      </c>
      <c r="C33" s="60" t="s">
        <v>62</v>
      </c>
    </row>
    <row r="34" spans="1:3" x14ac:dyDescent="0.2">
      <c r="A34" s="57">
        <v>31</v>
      </c>
      <c r="B34" s="87" t="s">
        <v>19</v>
      </c>
      <c r="C34" s="62" t="s">
        <v>63</v>
      </c>
    </row>
    <row r="35" spans="1:3" ht="51" x14ac:dyDescent="0.2">
      <c r="A35" s="57">
        <v>32</v>
      </c>
      <c r="B35" s="87" t="s">
        <v>66</v>
      </c>
      <c r="C35" s="63" t="s">
        <v>64</v>
      </c>
    </row>
    <row r="36" spans="1:3" x14ac:dyDescent="0.2">
      <c r="A36" s="57">
        <v>33</v>
      </c>
      <c r="B36" s="87" t="s">
        <v>219</v>
      </c>
      <c r="C36" s="63" t="s">
        <v>220</v>
      </c>
    </row>
    <row r="37" spans="1:3" x14ac:dyDescent="0.2">
      <c r="A37" s="57">
        <v>34</v>
      </c>
      <c r="B37" s="64" t="s">
        <v>44</v>
      </c>
      <c r="C37" s="63" t="s">
        <v>67</v>
      </c>
    </row>
    <row r="38" spans="1:3" ht="25.5" x14ac:dyDescent="0.2">
      <c r="A38" s="57">
        <v>35</v>
      </c>
      <c r="B38" s="65" t="s">
        <v>313</v>
      </c>
      <c r="C38" s="60" t="s">
        <v>68</v>
      </c>
    </row>
    <row r="39" spans="1:3" x14ac:dyDescent="0.2">
      <c r="A39" s="57">
        <v>36</v>
      </c>
      <c r="B39" s="58" t="s">
        <v>13</v>
      </c>
      <c r="C39" s="60" t="s">
        <v>70</v>
      </c>
    </row>
    <row r="40" spans="1:3" x14ac:dyDescent="0.2">
      <c r="A40" s="57">
        <v>37</v>
      </c>
      <c r="B40" s="64" t="s">
        <v>69</v>
      </c>
      <c r="C40" s="60" t="s">
        <v>71</v>
      </c>
    </row>
    <row r="41" spans="1:3" ht="25.5" x14ac:dyDescent="0.2">
      <c r="A41" s="57">
        <v>38</v>
      </c>
      <c r="B41" s="64" t="s">
        <v>25</v>
      </c>
      <c r="C41" s="59" t="s">
        <v>72</v>
      </c>
    </row>
    <row r="42" spans="1:3" ht="28.5" customHeight="1" x14ac:dyDescent="0.2">
      <c r="A42" s="89" t="s">
        <v>332</v>
      </c>
      <c r="B42" s="385" t="s">
        <v>333</v>
      </c>
      <c r="C42" s="386"/>
    </row>
    <row r="43" spans="1:3" x14ac:dyDescent="0.2">
      <c r="A43" s="383">
        <f>'Cover Sheet'!E10</f>
        <v>0</v>
      </c>
      <c r="B43" s="384"/>
      <c r="C43" s="384"/>
    </row>
    <row r="44" spans="1:3" x14ac:dyDescent="0.2">
      <c r="A44" s="66"/>
      <c r="B44" s="67"/>
      <c r="C44" s="66"/>
    </row>
    <row r="45" spans="1:3" x14ac:dyDescent="0.2">
      <c r="A45" s="66"/>
      <c r="B45" s="67"/>
      <c r="C45" s="66"/>
    </row>
    <row r="46" spans="1:3" x14ac:dyDescent="0.2">
      <c r="A46" s="66"/>
      <c r="B46" s="67"/>
      <c r="C46" s="66"/>
    </row>
    <row r="47" spans="1:3" x14ac:dyDescent="0.2">
      <c r="A47" s="66"/>
      <c r="B47" s="67"/>
      <c r="C47" s="66"/>
    </row>
    <row r="48" spans="1:3" x14ac:dyDescent="0.2">
      <c r="A48" s="66"/>
      <c r="B48" s="67"/>
      <c r="C48" s="66"/>
    </row>
    <row r="49" spans="1:3" x14ac:dyDescent="0.2">
      <c r="A49" s="66"/>
      <c r="B49" s="67"/>
      <c r="C49" s="66"/>
    </row>
    <row r="50" spans="1:3" x14ac:dyDescent="0.2">
      <c r="A50" s="66"/>
      <c r="B50" s="67"/>
      <c r="C50" s="66"/>
    </row>
    <row r="51" spans="1:3" x14ac:dyDescent="0.2">
      <c r="A51" s="33"/>
      <c r="B51" s="68"/>
      <c r="C51" s="33"/>
    </row>
    <row r="52" spans="1:3" s="33" customFormat="1" x14ac:dyDescent="0.2">
      <c r="B52" s="68"/>
    </row>
    <row r="53" spans="1:3" s="33" customFormat="1" x14ac:dyDescent="0.2">
      <c r="B53" s="68"/>
    </row>
    <row r="54" spans="1:3" s="33" customFormat="1" x14ac:dyDescent="0.2">
      <c r="B54" s="68"/>
    </row>
    <row r="55" spans="1:3" s="33" customFormat="1" x14ac:dyDescent="0.2">
      <c r="B55" s="68"/>
    </row>
    <row r="56" spans="1:3" s="33" customFormat="1" x14ac:dyDescent="0.2">
      <c r="B56" s="68"/>
    </row>
    <row r="57" spans="1:3" s="33" customFormat="1" x14ac:dyDescent="0.2">
      <c r="B57" s="68"/>
    </row>
    <row r="58" spans="1:3" s="33" customFormat="1" x14ac:dyDescent="0.2">
      <c r="B58" s="68"/>
    </row>
    <row r="59" spans="1:3" s="33" customFormat="1" x14ac:dyDescent="0.2">
      <c r="B59" s="68"/>
    </row>
    <row r="60" spans="1:3" s="33" customFormat="1" x14ac:dyDescent="0.2">
      <c r="B60" s="68"/>
    </row>
    <row r="61" spans="1:3" s="33" customFormat="1" x14ac:dyDescent="0.2">
      <c r="B61" s="68"/>
    </row>
    <row r="62" spans="1:3" s="33" customFormat="1" x14ac:dyDescent="0.2">
      <c r="B62" s="68"/>
    </row>
    <row r="63" spans="1:3" s="33" customFormat="1" x14ac:dyDescent="0.2">
      <c r="B63" s="68"/>
    </row>
    <row r="64" spans="1:3" s="33" customFormat="1" x14ac:dyDescent="0.2">
      <c r="B64" s="68"/>
    </row>
    <row r="65" spans="2:2" s="33" customFormat="1" x14ac:dyDescent="0.2">
      <c r="B65" s="68"/>
    </row>
    <row r="66" spans="2:2" s="33" customFormat="1" x14ac:dyDescent="0.2">
      <c r="B66" s="68"/>
    </row>
    <row r="67" spans="2:2" s="33" customFormat="1" x14ac:dyDescent="0.2">
      <c r="B67" s="68"/>
    </row>
    <row r="68" spans="2:2" s="33" customFormat="1" x14ac:dyDescent="0.2">
      <c r="B68" s="68"/>
    </row>
    <row r="69" spans="2:2" s="33" customFormat="1" x14ac:dyDescent="0.2">
      <c r="B69" s="68"/>
    </row>
    <row r="70" spans="2:2" s="33" customFormat="1" x14ac:dyDescent="0.2">
      <c r="B70" s="68"/>
    </row>
    <row r="71" spans="2:2" s="33" customFormat="1" x14ac:dyDescent="0.2">
      <c r="B71" s="68"/>
    </row>
    <row r="72" spans="2:2" s="33" customFormat="1" x14ac:dyDescent="0.2">
      <c r="B72" s="68"/>
    </row>
    <row r="73" spans="2:2" s="33" customFormat="1" x14ac:dyDescent="0.2">
      <c r="B73" s="68"/>
    </row>
    <row r="74" spans="2:2" s="33" customFormat="1" x14ac:dyDescent="0.2">
      <c r="B74" s="68"/>
    </row>
    <row r="75" spans="2:2" s="33" customFormat="1" x14ac:dyDescent="0.2">
      <c r="B75" s="68"/>
    </row>
    <row r="76" spans="2:2" s="33" customFormat="1" x14ac:dyDescent="0.2">
      <c r="B76" s="68"/>
    </row>
    <row r="77" spans="2:2" s="33" customFormat="1" x14ac:dyDescent="0.2">
      <c r="B77" s="68"/>
    </row>
    <row r="78" spans="2:2" s="33" customFormat="1" x14ac:dyDescent="0.2">
      <c r="B78" s="68"/>
    </row>
    <row r="79" spans="2:2" s="33" customFormat="1" x14ac:dyDescent="0.2">
      <c r="B79" s="68"/>
    </row>
    <row r="80" spans="2:2" s="33" customFormat="1" x14ac:dyDescent="0.2">
      <c r="B80" s="68"/>
    </row>
    <row r="81" spans="1:3" x14ac:dyDescent="0.2">
      <c r="A81" s="33"/>
      <c r="B81" s="68"/>
      <c r="C81" s="33"/>
    </row>
  </sheetData>
  <sheetProtection algorithmName="SHA-512" hashValue="kc7xRU5P9GxS6uob4yX23aV6D8el/Uc4MZd2wwwEYwipG6oxNlZycZ4y3OFd2yOO+j1N5PKrfO02c+UvX80LgQ==" saltValue="uX4WLE2RatsG9+JHMIjS+A==" spinCount="100000" sheet="1" objects="1" scenarios="1" selectLockedCells="1" selectUnlockedCells="1"/>
  <mergeCells count="4">
    <mergeCell ref="A1:C1"/>
    <mergeCell ref="A2:C2"/>
    <mergeCell ref="A43:C43"/>
    <mergeCell ref="B42:C42"/>
  </mergeCells>
  <phoneticPr fontId="0" type="noConversion"/>
  <printOptions horizontalCentered="1" verticalCentered="1"/>
  <pageMargins left="0.75" right="0.75" top="1.25" bottom="1" header="0.75" footer="0.5"/>
  <pageSetup scale="57" orientation="landscape" horizontalDpi="4294967292" verticalDpi="300" r:id="rId1"/>
  <headerFooter alignWithMargins="0"/>
  <colBreaks count="1" manualBreakCount="1">
    <brk id="3" max="38" man="1"/>
  </colBreaks>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86"/>
  <sheetViews>
    <sheetView view="pageBreakPreview" zoomScale="75" zoomScaleNormal="75" zoomScaleSheetLayoutView="75" workbookViewId="0">
      <selection activeCell="A2" sqref="A2:C2"/>
    </sheetView>
  </sheetViews>
  <sheetFormatPr defaultRowHeight="12.75" x14ac:dyDescent="0.2"/>
  <cols>
    <col min="1" max="1" width="31.42578125" style="36" customWidth="1"/>
    <col min="2" max="2" width="21.28515625" style="36" customWidth="1"/>
    <col min="3" max="3" width="67.140625" style="36" customWidth="1"/>
    <col min="4" max="16384" width="9.140625" style="36"/>
  </cols>
  <sheetData>
    <row r="1" spans="1:3" ht="18.75" thickBot="1" x14ac:dyDescent="0.3">
      <c r="A1" s="377" t="s">
        <v>376</v>
      </c>
      <c r="B1" s="378"/>
      <c r="C1" s="379"/>
    </row>
    <row r="2" spans="1:3" ht="162.75" customHeight="1" x14ac:dyDescent="0.25">
      <c r="A2" s="392" t="s">
        <v>322</v>
      </c>
      <c r="B2" s="393"/>
      <c r="C2" s="393"/>
    </row>
    <row r="3" spans="1:3" ht="15" x14ac:dyDescent="0.2">
      <c r="A3" s="389" t="s">
        <v>274</v>
      </c>
      <c r="B3" s="389"/>
      <c r="C3" s="40" t="s">
        <v>24</v>
      </c>
    </row>
    <row r="4" spans="1:3" ht="47.25" customHeight="1" x14ac:dyDescent="0.2">
      <c r="A4" s="388" t="s">
        <v>282</v>
      </c>
      <c r="B4" s="388"/>
      <c r="C4" s="41" t="s">
        <v>50</v>
      </c>
    </row>
    <row r="5" spans="1:3" x14ac:dyDescent="0.2">
      <c r="A5" s="387" t="s">
        <v>7</v>
      </c>
      <c r="B5" s="387"/>
      <c r="C5" s="42" t="s">
        <v>74</v>
      </c>
    </row>
    <row r="6" spans="1:3" x14ac:dyDescent="0.2">
      <c r="A6" s="388" t="s">
        <v>306</v>
      </c>
      <c r="B6" s="388"/>
      <c r="C6" s="42" t="s">
        <v>364</v>
      </c>
    </row>
    <row r="7" spans="1:3" ht="25.5" x14ac:dyDescent="0.2">
      <c r="A7" s="388" t="s">
        <v>323</v>
      </c>
      <c r="B7" s="388"/>
      <c r="C7" s="42" t="s">
        <v>73</v>
      </c>
    </row>
    <row r="8" spans="1:3" x14ac:dyDescent="0.2">
      <c r="A8" s="390" t="s">
        <v>365</v>
      </c>
      <c r="B8" s="391"/>
      <c r="C8" s="42" t="s">
        <v>368</v>
      </c>
    </row>
    <row r="9" spans="1:3" x14ac:dyDescent="0.2">
      <c r="A9" s="390" t="s">
        <v>366</v>
      </c>
      <c r="B9" s="391"/>
      <c r="C9" s="42" t="s">
        <v>367</v>
      </c>
    </row>
    <row r="10" spans="1:3" ht="38.25" x14ac:dyDescent="0.2">
      <c r="A10" s="387" t="s">
        <v>16</v>
      </c>
      <c r="B10" s="387"/>
      <c r="C10" s="43" t="s">
        <v>75</v>
      </c>
    </row>
    <row r="11" spans="1:3" x14ac:dyDescent="0.2">
      <c r="A11" s="394" t="s">
        <v>375</v>
      </c>
      <c r="B11" s="395"/>
      <c r="C11" s="43" t="s">
        <v>374</v>
      </c>
    </row>
    <row r="12" spans="1:3" ht="25.5" x14ac:dyDescent="0.2">
      <c r="A12" s="387" t="s">
        <v>361</v>
      </c>
      <c r="B12" s="387"/>
      <c r="C12" s="43" t="s">
        <v>283</v>
      </c>
    </row>
    <row r="13" spans="1:3" ht="102" x14ac:dyDescent="0.2">
      <c r="A13" s="387" t="s">
        <v>38</v>
      </c>
      <c r="B13" s="387"/>
      <c r="C13" s="43" t="s">
        <v>218</v>
      </c>
    </row>
    <row r="14" spans="1:3" ht="409.5" x14ac:dyDescent="0.2">
      <c r="A14" s="394" t="s">
        <v>8</v>
      </c>
      <c r="B14" s="395"/>
      <c r="C14" s="44" t="s">
        <v>353</v>
      </c>
    </row>
    <row r="15" spans="1:3" ht="114.75" x14ac:dyDescent="0.2">
      <c r="A15" s="394" t="s">
        <v>9</v>
      </c>
      <c r="B15" s="395"/>
      <c r="C15" s="43" t="s">
        <v>328</v>
      </c>
    </row>
    <row r="16" spans="1:3" x14ac:dyDescent="0.2">
      <c r="A16" s="394" t="s">
        <v>40</v>
      </c>
      <c r="B16" s="395"/>
      <c r="C16" s="43" t="s">
        <v>210</v>
      </c>
    </row>
    <row r="17" spans="1:3" x14ac:dyDescent="0.2">
      <c r="A17" s="394" t="s">
        <v>10</v>
      </c>
      <c r="B17" s="395"/>
      <c r="C17" s="43" t="s">
        <v>275</v>
      </c>
    </row>
    <row r="18" spans="1:3" ht="25.5" x14ac:dyDescent="0.2">
      <c r="A18" s="394" t="s">
        <v>372</v>
      </c>
      <c r="B18" s="395"/>
      <c r="C18" s="91" t="s">
        <v>369</v>
      </c>
    </row>
    <row r="19" spans="1:3" ht="51" customHeight="1" x14ac:dyDescent="0.2">
      <c r="A19" s="394" t="s">
        <v>217</v>
      </c>
      <c r="B19" s="395"/>
      <c r="C19" s="37" t="s">
        <v>260</v>
      </c>
    </row>
    <row r="20" spans="1:3" ht="38.25" x14ac:dyDescent="0.2">
      <c r="A20" s="394" t="s">
        <v>49</v>
      </c>
      <c r="B20" s="395"/>
      <c r="C20" s="43" t="s">
        <v>76</v>
      </c>
    </row>
    <row r="21" spans="1:3" x14ac:dyDescent="0.2">
      <c r="A21" s="394" t="s">
        <v>11</v>
      </c>
      <c r="B21" s="395"/>
      <c r="C21" s="43" t="s">
        <v>77</v>
      </c>
    </row>
    <row r="22" spans="1:3" ht="114.75" x14ac:dyDescent="0.2">
      <c r="A22" s="387" t="s">
        <v>12</v>
      </c>
      <c r="B22" s="387"/>
      <c r="C22" s="43" t="s">
        <v>326</v>
      </c>
    </row>
    <row r="23" spans="1:3" x14ac:dyDescent="0.2">
      <c r="A23" s="387" t="s">
        <v>222</v>
      </c>
      <c r="B23" s="387"/>
      <c r="C23" s="43" t="s">
        <v>223</v>
      </c>
    </row>
    <row r="24" spans="1:3" ht="13.5" thickBot="1" x14ac:dyDescent="0.25">
      <c r="A24" s="387" t="s">
        <v>221</v>
      </c>
      <c r="B24" s="387"/>
      <c r="C24" s="45" t="s">
        <v>220</v>
      </c>
    </row>
    <row r="25" spans="1:3" ht="18.75" thickBot="1" x14ac:dyDescent="0.25">
      <c r="A25" s="396" t="s">
        <v>212</v>
      </c>
      <c r="B25" s="397"/>
      <c r="C25" s="398"/>
    </row>
    <row r="26" spans="1:3" ht="15" x14ac:dyDescent="0.2">
      <c r="A26" s="46" t="s">
        <v>82</v>
      </c>
      <c r="B26" s="46" t="s">
        <v>83</v>
      </c>
      <c r="C26" s="47" t="s">
        <v>24</v>
      </c>
    </row>
    <row r="27" spans="1:3" x14ac:dyDescent="0.2">
      <c r="A27" s="48" t="s">
        <v>84</v>
      </c>
      <c r="B27" s="48" t="s">
        <v>85</v>
      </c>
      <c r="C27" s="49" t="s">
        <v>86</v>
      </c>
    </row>
    <row r="28" spans="1:3" ht="25.5" x14ac:dyDescent="0.2">
      <c r="A28" s="48" t="s">
        <v>87</v>
      </c>
      <c r="B28" s="48" t="s">
        <v>88</v>
      </c>
      <c r="C28" s="49" t="s">
        <v>89</v>
      </c>
    </row>
    <row r="29" spans="1:3" ht="25.5" x14ac:dyDescent="0.2">
      <c r="A29" s="48" t="s">
        <v>90</v>
      </c>
      <c r="B29" s="48" t="s">
        <v>91</v>
      </c>
      <c r="C29" s="49" t="s">
        <v>92</v>
      </c>
    </row>
    <row r="30" spans="1:3" ht="25.5" x14ac:dyDescent="0.2">
      <c r="A30" s="48" t="s">
        <v>93</v>
      </c>
      <c r="B30" s="48" t="s">
        <v>94</v>
      </c>
      <c r="C30" s="49" t="s">
        <v>95</v>
      </c>
    </row>
    <row r="31" spans="1:3" x14ac:dyDescent="0.2">
      <c r="A31" s="48" t="s">
        <v>96</v>
      </c>
      <c r="B31" s="48" t="s">
        <v>97</v>
      </c>
      <c r="C31" s="49" t="s">
        <v>98</v>
      </c>
    </row>
    <row r="32" spans="1:3" ht="25.5" x14ac:dyDescent="0.2">
      <c r="A32" s="48" t="s">
        <v>99</v>
      </c>
      <c r="B32" s="48" t="s">
        <v>100</v>
      </c>
      <c r="C32" s="49" t="s">
        <v>101</v>
      </c>
    </row>
    <row r="33" spans="1:3" ht="25.5" x14ac:dyDescent="0.2">
      <c r="A33" s="48" t="s">
        <v>102</v>
      </c>
      <c r="B33" s="84" t="s">
        <v>330</v>
      </c>
      <c r="C33" s="50" t="s">
        <v>329</v>
      </c>
    </row>
    <row r="34" spans="1:3" ht="35.25" customHeight="1" thickBot="1" x14ac:dyDescent="0.25">
      <c r="A34" s="48" t="s">
        <v>273</v>
      </c>
      <c r="B34" s="48" t="s">
        <v>103</v>
      </c>
      <c r="C34" s="50" t="s">
        <v>314</v>
      </c>
    </row>
    <row r="35" spans="1:3" ht="35.25" customHeight="1" thickBot="1" x14ac:dyDescent="0.25">
      <c r="A35" s="399" t="s">
        <v>211</v>
      </c>
      <c r="B35" s="400"/>
      <c r="C35" s="401"/>
    </row>
    <row r="36" spans="1:3" ht="15" x14ac:dyDescent="0.2">
      <c r="A36" s="85" t="s">
        <v>82</v>
      </c>
      <c r="B36" s="85" t="s">
        <v>104</v>
      </c>
      <c r="C36" s="51" t="s">
        <v>24</v>
      </c>
    </row>
    <row r="37" spans="1:3" ht="25.5" x14ac:dyDescent="0.2">
      <c r="A37" s="52" t="s">
        <v>105</v>
      </c>
      <c r="B37" s="53" t="s">
        <v>106</v>
      </c>
      <c r="C37" s="32" t="s">
        <v>107</v>
      </c>
    </row>
    <row r="38" spans="1:3" ht="25.5" x14ac:dyDescent="0.2">
      <c r="A38" s="52" t="s">
        <v>108</v>
      </c>
      <c r="B38" s="53" t="s">
        <v>109</v>
      </c>
      <c r="C38" s="32" t="s">
        <v>110</v>
      </c>
    </row>
    <row r="39" spans="1:3" ht="18" customHeight="1" x14ac:dyDescent="0.2">
      <c r="A39" s="52" t="s">
        <v>111</v>
      </c>
      <c r="B39" s="53" t="s">
        <v>112</v>
      </c>
      <c r="C39" s="32" t="s">
        <v>113</v>
      </c>
    </row>
    <row r="40" spans="1:3" ht="25.5" x14ac:dyDescent="0.2">
      <c r="A40" s="52" t="s">
        <v>114</v>
      </c>
      <c r="B40" s="53" t="s">
        <v>115</v>
      </c>
      <c r="C40" s="32" t="s">
        <v>276</v>
      </c>
    </row>
    <row r="41" spans="1:3" ht="25.5" x14ac:dyDescent="0.2">
      <c r="A41" s="52" t="s">
        <v>116</v>
      </c>
      <c r="B41" s="53" t="s">
        <v>117</v>
      </c>
      <c r="C41" s="32" t="s">
        <v>118</v>
      </c>
    </row>
    <row r="42" spans="1:3" x14ac:dyDescent="0.2">
      <c r="A42" s="52" t="s">
        <v>119</v>
      </c>
      <c r="B42" s="53" t="s">
        <v>120</v>
      </c>
      <c r="C42" s="32" t="s">
        <v>121</v>
      </c>
    </row>
    <row r="43" spans="1:3" ht="25.5" x14ac:dyDescent="0.2">
      <c r="A43" s="52" t="s">
        <v>122</v>
      </c>
      <c r="B43" s="53" t="s">
        <v>123</v>
      </c>
      <c r="C43" s="32" t="s">
        <v>124</v>
      </c>
    </row>
    <row r="44" spans="1:3" ht="25.5" x14ac:dyDescent="0.2">
      <c r="A44" s="52" t="s">
        <v>125</v>
      </c>
      <c r="B44" s="53" t="s">
        <v>126</v>
      </c>
      <c r="C44" s="49" t="s">
        <v>127</v>
      </c>
    </row>
    <row r="45" spans="1:3" ht="38.25" x14ac:dyDescent="0.2">
      <c r="A45" s="52" t="s">
        <v>128</v>
      </c>
      <c r="B45" s="53" t="s">
        <v>129</v>
      </c>
      <c r="C45" s="32" t="s">
        <v>130</v>
      </c>
    </row>
    <row r="46" spans="1:3" ht="25.5" x14ac:dyDescent="0.2">
      <c r="A46" s="52" t="s">
        <v>131</v>
      </c>
      <c r="B46" s="53" t="s">
        <v>132</v>
      </c>
      <c r="C46" s="32" t="s">
        <v>277</v>
      </c>
    </row>
    <row r="47" spans="1:3" ht="25.5" x14ac:dyDescent="0.2">
      <c r="A47" s="52" t="s">
        <v>133</v>
      </c>
      <c r="B47" s="53" t="s">
        <v>134</v>
      </c>
      <c r="C47" s="32" t="s">
        <v>135</v>
      </c>
    </row>
    <row r="48" spans="1:3" ht="40.5" customHeight="1" x14ac:dyDescent="0.2">
      <c r="A48" s="52" t="s">
        <v>136</v>
      </c>
      <c r="B48" s="53" t="s">
        <v>137</v>
      </c>
      <c r="C48" s="32" t="s">
        <v>315</v>
      </c>
    </row>
    <row r="49" spans="1:3" ht="25.5" x14ac:dyDescent="0.2">
      <c r="A49" s="52" t="s">
        <v>138</v>
      </c>
      <c r="B49" s="86" t="s">
        <v>316</v>
      </c>
      <c r="C49" s="32" t="s">
        <v>278</v>
      </c>
    </row>
    <row r="50" spans="1:3" ht="45" customHeight="1" x14ac:dyDescent="0.2">
      <c r="A50" s="52" t="s">
        <v>139</v>
      </c>
      <c r="B50" s="53" t="s">
        <v>140</v>
      </c>
      <c r="C50" s="32" t="s">
        <v>141</v>
      </c>
    </row>
    <row r="51" spans="1:3" ht="38.25" x14ac:dyDescent="0.2">
      <c r="A51" s="52" t="s">
        <v>142</v>
      </c>
      <c r="B51" s="86" t="s">
        <v>317</v>
      </c>
      <c r="C51" s="32" t="s">
        <v>318</v>
      </c>
    </row>
    <row r="52" spans="1:3" ht="36" customHeight="1" x14ac:dyDescent="0.2">
      <c r="A52" s="52" t="s">
        <v>143</v>
      </c>
      <c r="B52" s="53" t="s">
        <v>144</v>
      </c>
      <c r="C52" s="32" t="s">
        <v>145</v>
      </c>
    </row>
    <row r="53" spans="1:3" ht="25.5" x14ac:dyDescent="0.2">
      <c r="A53" s="52" t="s">
        <v>146</v>
      </c>
      <c r="B53" s="53" t="s">
        <v>147</v>
      </c>
      <c r="C53" s="32" t="s">
        <v>148</v>
      </c>
    </row>
    <row r="54" spans="1:3" ht="25.5" x14ac:dyDescent="0.2">
      <c r="A54" s="52" t="s">
        <v>149</v>
      </c>
      <c r="B54" s="86" t="s">
        <v>319</v>
      </c>
      <c r="C54" s="32" t="s">
        <v>150</v>
      </c>
    </row>
    <row r="55" spans="1:3" x14ac:dyDescent="0.2">
      <c r="A55" s="52" t="s">
        <v>151</v>
      </c>
      <c r="B55" s="53" t="s">
        <v>152</v>
      </c>
      <c r="C55" s="49" t="s">
        <v>153</v>
      </c>
    </row>
    <row r="56" spans="1:3" x14ac:dyDescent="0.2">
      <c r="A56" s="52" t="s">
        <v>154</v>
      </c>
      <c r="B56" s="53" t="s">
        <v>155</v>
      </c>
      <c r="C56" s="49" t="s">
        <v>156</v>
      </c>
    </row>
    <row r="57" spans="1:3" ht="25.5" x14ac:dyDescent="0.2">
      <c r="A57" s="52" t="s">
        <v>157</v>
      </c>
      <c r="B57" s="53" t="s">
        <v>158</v>
      </c>
      <c r="C57" s="32" t="s">
        <v>159</v>
      </c>
    </row>
    <row r="58" spans="1:3" ht="25.5" x14ac:dyDescent="0.2">
      <c r="A58" s="52" t="s">
        <v>160</v>
      </c>
      <c r="B58" s="53" t="s">
        <v>161</v>
      </c>
      <c r="C58" s="32" t="s">
        <v>162</v>
      </c>
    </row>
    <row r="59" spans="1:3" ht="25.5" x14ac:dyDescent="0.2">
      <c r="A59" s="52" t="s">
        <v>163</v>
      </c>
      <c r="B59" s="53" t="s">
        <v>164</v>
      </c>
      <c r="C59" s="32" t="s">
        <v>165</v>
      </c>
    </row>
    <row r="60" spans="1:3" ht="25.5" x14ac:dyDescent="0.2">
      <c r="A60" s="52" t="s">
        <v>166</v>
      </c>
      <c r="B60" s="53" t="s">
        <v>167</v>
      </c>
      <c r="C60" s="32" t="s">
        <v>168</v>
      </c>
    </row>
    <row r="61" spans="1:3" ht="25.5" x14ac:dyDescent="0.2">
      <c r="A61" s="52" t="s">
        <v>169</v>
      </c>
      <c r="B61" s="53" t="s">
        <v>170</v>
      </c>
      <c r="C61" s="32" t="s">
        <v>320</v>
      </c>
    </row>
    <row r="62" spans="1:3" ht="38.25" x14ac:dyDescent="0.2">
      <c r="A62" s="52" t="s">
        <v>171</v>
      </c>
      <c r="B62" s="53" t="s">
        <v>172</v>
      </c>
      <c r="C62" s="32" t="s">
        <v>173</v>
      </c>
    </row>
    <row r="63" spans="1:3" ht="25.5" x14ac:dyDescent="0.2">
      <c r="A63" s="52" t="s">
        <v>174</v>
      </c>
      <c r="B63" s="53" t="s">
        <v>175</v>
      </c>
      <c r="C63" s="32" t="s">
        <v>176</v>
      </c>
    </row>
    <row r="64" spans="1:3" ht="25.5" x14ac:dyDescent="0.2">
      <c r="A64" s="52" t="s">
        <v>177</v>
      </c>
      <c r="B64" s="53" t="s">
        <v>178</v>
      </c>
      <c r="C64" s="32" t="s">
        <v>179</v>
      </c>
    </row>
    <row r="65" spans="1:3" ht="38.25" x14ac:dyDescent="0.2">
      <c r="A65" s="52" t="s">
        <v>180</v>
      </c>
      <c r="B65" s="86" t="s">
        <v>321</v>
      </c>
      <c r="C65" s="32" t="s">
        <v>181</v>
      </c>
    </row>
    <row r="66" spans="1:3" ht="25.5" x14ac:dyDescent="0.2">
      <c r="A66" s="52" t="s">
        <v>182</v>
      </c>
      <c r="B66" s="53" t="s">
        <v>183</v>
      </c>
      <c r="C66" s="32" t="s">
        <v>184</v>
      </c>
    </row>
    <row r="67" spans="1:3" ht="38.25" x14ac:dyDescent="0.2">
      <c r="A67" s="52" t="s">
        <v>185</v>
      </c>
      <c r="B67" s="53" t="s">
        <v>186</v>
      </c>
      <c r="C67" s="32" t="s">
        <v>187</v>
      </c>
    </row>
    <row r="68" spans="1:3" ht="76.5" x14ac:dyDescent="0.2">
      <c r="A68" s="52" t="s">
        <v>188</v>
      </c>
      <c r="B68" s="53" t="s">
        <v>189</v>
      </c>
      <c r="C68" s="32" t="s">
        <v>279</v>
      </c>
    </row>
    <row r="69" spans="1:3" ht="51" x14ac:dyDescent="0.2">
      <c r="A69" s="52" t="s">
        <v>351</v>
      </c>
      <c r="B69" s="90" t="s">
        <v>357</v>
      </c>
      <c r="C69" s="32" t="s">
        <v>356</v>
      </c>
    </row>
    <row r="70" spans="1:3" ht="38.25" x14ac:dyDescent="0.2">
      <c r="A70" s="52" t="s">
        <v>352</v>
      </c>
      <c r="B70" s="53" t="s">
        <v>354</v>
      </c>
      <c r="C70" s="32" t="s">
        <v>355</v>
      </c>
    </row>
    <row r="71" spans="1:3" ht="51" x14ac:dyDescent="0.2">
      <c r="A71" s="52" t="s">
        <v>341</v>
      </c>
      <c r="B71" s="53" t="s">
        <v>344</v>
      </c>
      <c r="C71" s="32" t="s">
        <v>345</v>
      </c>
    </row>
    <row r="72" spans="1:3" ht="38.25" x14ac:dyDescent="0.2">
      <c r="A72" s="52" t="s">
        <v>342</v>
      </c>
      <c r="B72" s="53" t="s">
        <v>346</v>
      </c>
      <c r="C72" s="32" t="s">
        <v>347</v>
      </c>
    </row>
    <row r="73" spans="1:3" ht="51" x14ac:dyDescent="0.2">
      <c r="A73" s="52" t="s">
        <v>343</v>
      </c>
      <c r="B73" s="53" t="s">
        <v>348</v>
      </c>
      <c r="C73" s="32" t="s">
        <v>349</v>
      </c>
    </row>
    <row r="74" spans="1:3" ht="38.25" x14ac:dyDescent="0.2">
      <c r="A74" s="52" t="s">
        <v>309</v>
      </c>
      <c r="B74" s="86" t="s">
        <v>310</v>
      </c>
      <c r="C74" s="32" t="s">
        <v>311</v>
      </c>
    </row>
    <row r="75" spans="1:3" x14ac:dyDescent="0.2">
      <c r="A75" s="52" t="s">
        <v>350</v>
      </c>
      <c r="B75" s="53" t="s">
        <v>103</v>
      </c>
      <c r="C75" s="50" t="s">
        <v>314</v>
      </c>
    </row>
    <row r="76" spans="1:3" x14ac:dyDescent="0.2">
      <c r="A76" s="402" t="s">
        <v>378</v>
      </c>
      <c r="B76" s="403"/>
      <c r="C76" s="403"/>
    </row>
    <row r="77" spans="1:3" x14ac:dyDescent="0.2">
      <c r="A77" s="54"/>
      <c r="B77" s="54"/>
      <c r="C77" s="54"/>
    </row>
    <row r="78" spans="1:3" x14ac:dyDescent="0.2">
      <c r="A78" s="54"/>
      <c r="B78" s="54"/>
      <c r="C78" s="54"/>
    </row>
    <row r="79" spans="1:3" x14ac:dyDescent="0.2">
      <c r="A79" s="54"/>
      <c r="B79" s="54"/>
      <c r="C79" s="54"/>
    </row>
    <row r="80" spans="1:3" x14ac:dyDescent="0.2">
      <c r="A80" s="54"/>
      <c r="B80" s="54"/>
      <c r="C80" s="54"/>
    </row>
    <row r="81" spans="1:3" x14ac:dyDescent="0.2">
      <c r="A81" s="54"/>
      <c r="B81" s="54"/>
      <c r="C81" s="54"/>
    </row>
    <row r="82" spans="1:3" x14ac:dyDescent="0.2">
      <c r="A82" s="54"/>
      <c r="B82" s="54"/>
      <c r="C82" s="54"/>
    </row>
    <row r="83" spans="1:3" x14ac:dyDescent="0.2">
      <c r="A83" s="54"/>
      <c r="B83" s="54"/>
      <c r="C83" s="54"/>
    </row>
    <row r="84" spans="1:3" x14ac:dyDescent="0.2">
      <c r="A84" s="54"/>
      <c r="B84" s="54"/>
      <c r="C84" s="54"/>
    </row>
    <row r="85" spans="1:3" x14ac:dyDescent="0.2">
      <c r="A85" s="54"/>
      <c r="B85" s="54"/>
      <c r="C85" s="54"/>
    </row>
    <row r="86" spans="1:3" x14ac:dyDescent="0.2">
      <c r="A86" s="54"/>
      <c r="B86" s="54"/>
      <c r="C86" s="54"/>
    </row>
  </sheetData>
  <sheetProtection algorithmName="SHA-512" hashValue="jQJsx8V6aDTpVmPtsf1019xm+MyQ19VkDHXcKXtSQuxcEthXcHMRZ+88/dH2VVL5D9lRg1hxcEWRdjpRgiYMXg==" saltValue="FcXsEmIAFeZSqDwnv3784A==" spinCount="100000" sheet="1" selectLockedCells="1" selectUnlockedCells="1"/>
  <mergeCells count="27">
    <mergeCell ref="A14:B14"/>
    <mergeCell ref="A19:B19"/>
    <mergeCell ref="A21:B21"/>
    <mergeCell ref="A15:B15"/>
    <mergeCell ref="A22:B22"/>
    <mergeCell ref="A20:B20"/>
    <mergeCell ref="A16:B16"/>
    <mergeCell ref="A17:B17"/>
    <mergeCell ref="A25:C25"/>
    <mergeCell ref="A35:C35"/>
    <mergeCell ref="A24:B24"/>
    <mergeCell ref="A18:B18"/>
    <mergeCell ref="A76:C76"/>
    <mergeCell ref="A23:B23"/>
    <mergeCell ref="A13:B13"/>
    <mergeCell ref="A1:C1"/>
    <mergeCell ref="A5:B5"/>
    <mergeCell ref="A7:B7"/>
    <mergeCell ref="A10:B10"/>
    <mergeCell ref="A3:B3"/>
    <mergeCell ref="A4:B4"/>
    <mergeCell ref="A6:B6"/>
    <mergeCell ref="A8:B8"/>
    <mergeCell ref="A9:B9"/>
    <mergeCell ref="A2:C2"/>
    <mergeCell ref="A11:B11"/>
    <mergeCell ref="A12:B12"/>
  </mergeCells>
  <phoneticPr fontId="0" type="noConversion"/>
  <pageMargins left="0.75" right="0.75" top="1" bottom="1" header="0.5" footer="0.5"/>
  <pageSetup scale="32" orientation="portrait" horizontalDpi="4294967292" r:id="rId1"/>
  <headerFooter alignWithMargins="0"/>
  <rowBreaks count="1" manualBreakCount="1">
    <brk id="15" max="2" man="1"/>
  </rowBreak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Cover Sheet</vt:lpstr>
      <vt:lpstr>Test Plan &amp; Results Summary</vt:lpstr>
      <vt:lpstr>Decision table</vt:lpstr>
      <vt:lpstr>SystemTest Plan &amp; Test Results</vt:lpstr>
      <vt:lpstr>Bug Report</vt:lpstr>
      <vt:lpstr>Annexure for STP &amp; TR</vt:lpstr>
      <vt:lpstr> Annexure for Bug Report</vt:lpstr>
      <vt:lpstr>'SystemTest Plan &amp; Test Results'!_Toc37752622</vt:lpstr>
      <vt:lpstr>'SystemTest Plan &amp; Test Results'!_Toc37752626</vt:lpstr>
      <vt:lpstr>'SystemTest Plan &amp; Test Results'!_Toc37752628</vt:lpstr>
      <vt:lpstr>'SystemTest Plan &amp; Test Results'!_Toc56668862</vt:lpstr>
      <vt:lpstr>' Annexure for Bug Report'!Print_Area</vt:lpstr>
      <vt:lpstr>'Annexure for STP &amp; TR'!Print_Area</vt:lpstr>
      <vt:lpstr>'Bug Report'!Print_Area</vt:lpstr>
      <vt:lpstr>'Cover Sheet'!Print_Area</vt:lpstr>
      <vt:lpstr>'Decision table'!Print_Area</vt:lpstr>
    </vt:vector>
  </TitlesOfParts>
  <Company>Larsen &amp; Toubro Limited, Mysore Works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System Test Plan &amp; TR</dc:title>
  <dc:subject>Verification</dc:subject>
  <dc:creator>SQA</dc:creator>
  <cp:lastModifiedBy>Harshith H K</cp:lastModifiedBy>
  <cp:lastPrinted>2003-01-03T08:51:57Z</cp:lastPrinted>
  <dcterms:created xsi:type="dcterms:W3CDTF">2002-02-01T03:36:58Z</dcterms:created>
  <dcterms:modified xsi:type="dcterms:W3CDTF">2020-12-16T06:40:56Z</dcterms:modified>
</cp:coreProperties>
</file>
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drawings/drawing2.xml" ContentType="application/vnd.openxmlformats-officedocument.drawing+xml"/>
  <Override PartName="/xl/sharedStrings.xml" ContentType="application/vnd.openxmlformats-officedocument.spreadsheetml.sharedStrings+xml"/>
  <Override PartName="/xl/drawings/drawing1.xml" ContentType="application/vnd.openxmlformats-officedocument.drawing+xml"/>
  <Override PartName="/xl/styles.xml" ContentType="application/vnd.openxmlformats-officedocument.spreadsheetml.styles+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drawings/drawing3.xml" ContentType="application/vnd.openxmlformats-officedocument.drawing+xml"/>
  <Override PartName="/xl/worksheets/sheet7.xml" ContentType="application/vnd.openxmlformats-officedocument.spreadsheetml.worksheet+xml"/>
  <Override PartName="/xl/activeX/activeX1.bin" ContentType="application/vnd.ms-office.activeX"/>
  <Override PartName="/xl/activeX/activeX1.xml" ContentType="application/vnd.ms-office.activeX+xml"/>
  <Override PartName="/xl/comments4.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comments2.xml" ContentType="application/vnd.openxmlformats-officedocument.spreadsheetml.comments+xml"/>
  <Override PartName="/xl/comments1.xml" ContentType="application/vnd.openxmlformats-officedocument.spreadsheetml.comment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067" codeName="{39D6815B-2028-34A9-64EF-03FDC4A383A5}"/>
  <workbookPr codeName="ThisWorkbook"/>
  <mc:AlternateContent xmlns:mc="http://schemas.openxmlformats.org/markup-compatibility/2006">
    <mc:Choice Requires="x15">
      <x15ac:absPath xmlns:x15ac="http://schemas.microsoft.com/office/spreadsheetml/2010/11/ac" url="C:\Users\99002442\Downloads\"/>
    </mc:Choice>
  </mc:AlternateContent>
  <bookViews>
    <workbookView xWindow="-120" yWindow="-120" windowWidth="19440" windowHeight="15000" tabRatio="842" activeTab="3"/>
  </bookViews>
  <sheets>
    <sheet name="Cover Sheet" sheetId="1" r:id="rId1"/>
    <sheet name="Test Plan &amp; Results Summary" sheetId="9" r:id="rId2"/>
    <sheet name="Decision table" sheetId="6" r:id="rId3"/>
    <sheet name="SystemTest Plan &amp; Test Results" sheetId="4" r:id="rId4"/>
    <sheet name="Bug Report" sheetId="7" r:id="rId5"/>
    <sheet name="Annexure for STP &amp; TR" sheetId="5" r:id="rId6"/>
    <sheet name=" Annexure for Bug Report" sheetId="8" r:id="rId7"/>
  </sheets>
  <definedNames>
    <definedName name="_Toc37752622" localSheetId="3">'SystemTest Plan &amp; Test Results'!$E$14</definedName>
    <definedName name="_Toc37752624" localSheetId="3">'SystemTest Plan &amp; Test Results'!#REF!</definedName>
    <definedName name="_Toc37752626" localSheetId="3">'SystemTest Plan &amp; Test Results'!$E$15</definedName>
    <definedName name="_Toc37752628" localSheetId="3">'SystemTest Plan &amp; Test Results'!$E$17</definedName>
    <definedName name="_Toc56668862" localSheetId="3">'SystemTest Plan &amp; Test Results'!$E$17</definedName>
    <definedName name="_xlnm.Print_Area" localSheetId="6">' Annexure for Bug Report'!$A$1:$C$76</definedName>
    <definedName name="_xlnm.Print_Area" localSheetId="5">'Annexure for STP &amp; TR'!$A$1:$C$43</definedName>
    <definedName name="_xlnm.Print_Area" localSheetId="4">'Bug Report'!$A$1:$R$17</definedName>
    <definedName name="_xlnm.Print_Area" localSheetId="0">'Cover Sheet'!$A$1:$H$26</definedName>
    <definedName name="_xlnm.Print_Area" localSheetId="2">'Decision table'!$A$1:$N$22</definedName>
  </definedNames>
  <calcPr calcId="171027"/>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8" i="1" l="1"/>
  <c r="D2" i="4" l="1"/>
  <c r="F2" i="7" l="1"/>
  <c r="B2" i="7"/>
  <c r="A43" i="5"/>
  <c r="C27" i="9"/>
</calcChain>
</file>

<file path=xl/comments1.xml><?xml version="1.0" encoding="utf-8"?>
<comments xmlns="http://schemas.openxmlformats.org/spreadsheetml/2006/main">
  <authors>
    <author>Jayashree G</author>
  </authors>
  <commentList>
    <comment ref="A2" authorId="0" shapeId="0">
      <text>
        <r>
          <rPr>
            <b/>
            <sz val="9"/>
            <color indexed="81"/>
            <rFont val="Tahoma"/>
            <family val="2"/>
          </rPr>
          <t>Indicate the Project ID allocated by SQA</t>
        </r>
        <r>
          <rPr>
            <sz val="9"/>
            <color indexed="81"/>
            <rFont val="Tahoma"/>
            <family val="2"/>
          </rPr>
          <t xml:space="preserve">
</t>
        </r>
      </text>
    </comment>
    <comment ref="D2" authorId="0" shapeId="0">
      <text>
        <r>
          <rPr>
            <b/>
            <sz val="9"/>
            <color indexed="81"/>
            <rFont val="Tahoma"/>
            <family val="2"/>
          </rPr>
          <t>Indicate the name of the project</t>
        </r>
      </text>
    </comment>
    <comment ref="A3" authorId="0" shapeId="0">
      <text>
        <r>
          <rPr>
            <b/>
            <sz val="9"/>
            <color indexed="81"/>
            <rFont val="Tahoma"/>
            <family val="2"/>
          </rPr>
          <t>Indicate the reference documetns used to prepare / updaste test plan</t>
        </r>
      </text>
    </comment>
    <comment ref="B4" authorId="0" shapeId="0">
      <text>
        <r>
          <rPr>
            <b/>
            <sz val="9"/>
            <color indexed="81"/>
            <rFont val="Tahoma"/>
            <family val="2"/>
          </rPr>
          <t>Indicate the ID of the document used to prepare/update test plan (if any).</t>
        </r>
        <r>
          <rPr>
            <sz val="9"/>
            <color indexed="81"/>
            <rFont val="Tahoma"/>
            <family val="2"/>
          </rPr>
          <t xml:space="preserve">
</t>
        </r>
      </text>
    </comment>
    <comment ref="D4" authorId="0" shapeId="0">
      <text>
        <r>
          <rPr>
            <b/>
            <sz val="9"/>
            <color indexed="81"/>
            <rFont val="Tahoma"/>
            <family val="2"/>
          </rPr>
          <t>Indicate the name of the document used to prepare/update test plan.</t>
        </r>
        <r>
          <rPr>
            <sz val="9"/>
            <color indexed="81"/>
            <rFont val="Tahoma"/>
            <family val="2"/>
          </rPr>
          <t xml:space="preserve">
</t>
        </r>
      </text>
    </comment>
    <comment ref="A9" authorId="0" shapeId="0">
      <text>
        <r>
          <rPr>
            <b/>
            <sz val="9"/>
            <color indexed="81"/>
            <rFont val="Tahoma"/>
            <family val="2"/>
          </rPr>
          <t>Indicate the test equipments /tools used for performing the system testing along with their version /configuration details</t>
        </r>
      </text>
    </comment>
    <comment ref="B10" authorId="0" shapeId="0">
      <text>
        <r>
          <rPr>
            <b/>
            <sz val="9"/>
            <color indexed="81"/>
            <rFont val="Tahoma"/>
            <family val="2"/>
          </rPr>
          <t>Indicate the Tool name with a brief Description on it's usage
E.g. Multimeter for measuring Voltage</t>
        </r>
        <r>
          <rPr>
            <sz val="9"/>
            <color indexed="81"/>
            <rFont val="Tahoma"/>
            <family val="2"/>
          </rPr>
          <t xml:space="preserve">
</t>
        </r>
      </text>
    </comment>
    <comment ref="E10" authorId="0" shapeId="0">
      <text>
        <r>
          <rPr>
            <b/>
            <sz val="9"/>
            <color indexed="81"/>
            <rFont val="Tahoma"/>
            <family val="2"/>
          </rPr>
          <t>Indicate the Configuration of the Hardware tool to be used
E.g. Range (0-30 V)</t>
        </r>
      </text>
    </comment>
    <comment ref="A15" authorId="0" shapeId="0">
      <text>
        <r>
          <rPr>
            <b/>
            <sz val="9"/>
            <color indexed="81"/>
            <rFont val="Tahoma"/>
            <family val="2"/>
          </rPr>
          <t>Indicate the test equipments/tools used for performing testing along with their version/configuration details.</t>
        </r>
      </text>
    </comment>
    <comment ref="B16" authorId="0" shapeId="0">
      <text>
        <r>
          <rPr>
            <b/>
            <sz val="9"/>
            <color indexed="81"/>
            <rFont val="Tahoma"/>
            <family val="2"/>
          </rPr>
          <t>Indicate the name of the Software tool with a brief Description on it's usage</t>
        </r>
        <r>
          <rPr>
            <sz val="9"/>
            <color indexed="81"/>
            <rFont val="Tahoma"/>
            <family val="2"/>
          </rPr>
          <t xml:space="preserve">
</t>
        </r>
      </text>
    </comment>
    <comment ref="C22" authorId="0" shapeId="0">
      <text>
        <r>
          <rPr>
            <b/>
            <sz val="9"/>
            <color indexed="81"/>
            <rFont val="Tahoma"/>
            <family val="2"/>
          </rPr>
          <t>Indicate the no. of test cases passed in each iteration.</t>
        </r>
      </text>
    </comment>
    <comment ref="D22" authorId="0" shapeId="0">
      <text>
        <r>
          <rPr>
            <b/>
            <sz val="9"/>
            <color indexed="81"/>
            <rFont val="Tahoma"/>
            <family val="2"/>
          </rPr>
          <t>Indicate the no. of test cases failed in each iteration.</t>
        </r>
      </text>
    </comment>
    <comment ref="E22" authorId="0" shapeId="0">
      <text>
        <r>
          <rPr>
            <b/>
            <sz val="9"/>
            <color indexed="81"/>
            <rFont val="Tahoma"/>
            <family val="2"/>
          </rPr>
          <t>Indicate the no. of test cases which were not executed in each iteration.</t>
        </r>
      </text>
    </comment>
    <comment ref="A28" authorId="0" shapeId="0">
      <text>
        <r>
          <rPr>
            <b/>
            <sz val="9"/>
            <color indexed="81"/>
            <rFont val="Tahoma"/>
            <family val="2"/>
          </rPr>
          <t xml:space="preserve">Indicate the limitations/ deficiencies/risks expected  in the performance of this module after taking into consideration the inferences drawn from the actual test results analysis.
</t>
        </r>
      </text>
    </comment>
    <comment ref="A29" authorId="0" shapeId="0">
      <text>
        <r>
          <rPr>
            <b/>
            <sz val="9"/>
            <color indexed="81"/>
            <rFont val="Tahoma"/>
            <family val="2"/>
          </rPr>
          <t>Take into account the inferences drawn out of the test results as explained above, limitations, deficiencies and risks perceived before arriving at the conclusion on the acceptance or rejection of the work  product under test.</t>
        </r>
        <r>
          <rPr>
            <sz val="9"/>
            <color indexed="81"/>
            <rFont val="Tahoma"/>
            <family val="2"/>
          </rPr>
          <t xml:space="preserve">
</t>
        </r>
      </text>
    </comment>
  </commentList>
</comments>
</file>

<file path=xl/comments2.xml><?xml version="1.0" encoding="utf-8"?>
<comments xmlns="http://schemas.openxmlformats.org/spreadsheetml/2006/main">
  <authors>
    <author>Pooja Mathur</author>
    <author xml:space="preserve">    </author>
  </authors>
  <commentList>
    <comment ref="A4" authorId="0" shapeId="0">
      <text>
        <r>
          <rPr>
            <b/>
            <sz val="9"/>
            <color indexed="81"/>
            <rFont val="Tahoma"/>
            <family val="2"/>
          </rPr>
          <t>indicate the requirement ID as specified in the RTT</t>
        </r>
      </text>
    </comment>
    <comment ref="D4" authorId="1" shapeId="0">
      <text>
        <r>
          <rPr>
            <b/>
            <sz val="9"/>
            <color indexed="81"/>
            <rFont val="Tahoma"/>
            <family val="2"/>
          </rPr>
          <t xml:space="preserve"> List all the  input data conditions connected to this requirement</t>
        </r>
      </text>
    </comment>
    <comment ref="E4" authorId="1" shapeId="0">
      <text>
        <r>
          <rPr>
            <b/>
            <sz val="9"/>
            <color indexed="81"/>
            <rFont val="Tahoma"/>
            <family val="2"/>
          </rPr>
          <t>Refers to business  scenarios for which various test cases could be  generated</t>
        </r>
      </text>
    </comment>
    <comment ref="E5" authorId="1" shapeId="0">
      <text>
        <r>
          <rPr>
            <b/>
            <sz val="9"/>
            <color indexed="81"/>
            <rFont val="Tahoma"/>
            <family val="2"/>
          </rPr>
          <t>A specific scenario for which many test cases could be generated in the system test plan work sheet</t>
        </r>
        <r>
          <rPr>
            <sz val="8"/>
            <color indexed="81"/>
            <rFont val="Tahoma"/>
            <family val="2"/>
          </rPr>
          <t xml:space="preserve">
</t>
        </r>
      </text>
    </comment>
    <comment ref="F5" authorId="1" shapeId="0">
      <text>
        <r>
          <rPr>
            <b/>
            <sz val="9"/>
            <color indexed="81"/>
            <rFont val="Tahoma"/>
            <family val="2"/>
          </rPr>
          <t>A specific scenario for which many test cases could be generated in the system test plan work sheet</t>
        </r>
        <r>
          <rPr>
            <sz val="8"/>
            <color indexed="81"/>
            <rFont val="Tahoma"/>
            <family val="2"/>
          </rPr>
          <t xml:space="preserve">
</t>
        </r>
      </text>
    </comment>
    <comment ref="G5" authorId="1" shapeId="0">
      <text>
        <r>
          <rPr>
            <b/>
            <sz val="9"/>
            <color indexed="81"/>
            <rFont val="Tahoma"/>
            <family val="2"/>
          </rPr>
          <t>A specific scenario for which many test cases could be generated in the system test plan work sheet</t>
        </r>
        <r>
          <rPr>
            <sz val="8"/>
            <color indexed="81"/>
            <rFont val="Tahoma"/>
            <family val="2"/>
          </rPr>
          <t xml:space="preserve">
</t>
        </r>
      </text>
    </comment>
    <comment ref="H5" authorId="1" shapeId="0">
      <text>
        <r>
          <rPr>
            <b/>
            <sz val="9"/>
            <color indexed="81"/>
            <rFont val="Tahoma"/>
            <family val="2"/>
          </rPr>
          <t>A specific scenario for which many test cases could be generated in the system test plan work sheet</t>
        </r>
        <r>
          <rPr>
            <sz val="9"/>
            <color indexed="81"/>
            <rFont val="Tahoma"/>
            <family val="2"/>
          </rPr>
          <t xml:space="preserve">
</t>
        </r>
      </text>
    </comment>
    <comment ref="L5" authorId="1" shapeId="0">
      <text>
        <r>
          <rPr>
            <b/>
            <sz val="9"/>
            <color indexed="81"/>
            <rFont val="Tahoma"/>
            <family val="2"/>
          </rPr>
          <t>A specific scenario for which many test cases could be generated in the system test plan work sheet</t>
        </r>
        <r>
          <rPr>
            <sz val="9"/>
            <color indexed="81"/>
            <rFont val="Tahoma"/>
            <family val="2"/>
          </rPr>
          <t xml:space="preserve">
</t>
        </r>
      </text>
    </comment>
  </commentList>
</comments>
</file>

<file path=xl/comments3.xml><?xml version="1.0" encoding="utf-8"?>
<comments xmlns="http://schemas.openxmlformats.org/spreadsheetml/2006/main">
  <authors>
    <author xml:space="preserve">    </author>
    <author>Pooja Mathur</author>
    <author>Vinutha H V.</author>
    <author>ISD</author>
    <author>Pavani RV</author>
    <author>Jayashree G</author>
  </authors>
  <commentList>
    <comment ref="A2" authorId="0" shapeId="0">
      <text>
        <r>
          <rPr>
            <b/>
            <sz val="8"/>
            <color indexed="81"/>
            <rFont val="Tahoma"/>
            <family val="2"/>
          </rPr>
          <t xml:space="preserve"> Project ID allotted by SQA</t>
        </r>
        <r>
          <rPr>
            <sz val="8"/>
            <color indexed="81"/>
            <rFont val="Tahoma"/>
            <family val="2"/>
          </rPr>
          <t xml:space="preserve">
</t>
        </r>
      </text>
    </comment>
    <comment ref="I2" authorId="1" shapeId="0">
      <text>
        <r>
          <rPr>
            <b/>
            <sz val="9"/>
            <color indexed="81"/>
            <rFont val="Tahoma"/>
            <family val="2"/>
          </rPr>
          <t xml:space="preserve">Name of the project </t>
        </r>
        <r>
          <rPr>
            <sz val="9"/>
            <color indexed="81"/>
            <rFont val="Tahoma"/>
            <family val="2"/>
          </rPr>
          <t xml:space="preserve">
</t>
        </r>
      </text>
    </comment>
    <comment ref="A3" authorId="0" shapeId="0">
      <text>
        <r>
          <rPr>
            <b/>
            <sz val="8"/>
            <color indexed="81"/>
            <rFont val="Tahoma"/>
            <family val="2"/>
          </rPr>
          <t>Initials of the person who has prepared or  last modified the System Test Plan</t>
        </r>
        <r>
          <rPr>
            <sz val="8"/>
            <color indexed="81"/>
            <rFont val="Tahoma"/>
            <family val="2"/>
          </rPr>
          <t xml:space="preserve">
</t>
        </r>
      </text>
    </comment>
    <comment ref="I3" authorId="2" shapeId="0">
      <text>
        <r>
          <rPr>
            <b/>
            <sz val="9"/>
            <color indexed="81"/>
            <rFont val="Tahoma"/>
            <family val="2"/>
          </rPr>
          <t>Indicate the final version of the firmware/software used in  the product under System Testing</t>
        </r>
      </text>
    </comment>
    <comment ref="K3" authorId="1" shapeId="0">
      <text>
        <r>
          <rPr>
            <b/>
            <sz val="9"/>
            <color indexed="81"/>
            <rFont val="Tahoma"/>
            <family val="2"/>
          </rPr>
          <t>Count of the total number of bugs uncovered from System testing (including regression tests done if any)</t>
        </r>
        <r>
          <rPr>
            <sz val="8"/>
            <color indexed="81"/>
            <rFont val="Tahoma"/>
            <family val="2"/>
          </rPr>
          <t xml:space="preserve">
</t>
        </r>
      </text>
    </comment>
    <comment ref="A4" authorId="0" shapeId="0">
      <text>
        <r>
          <rPr>
            <b/>
            <sz val="8"/>
            <color indexed="81"/>
            <rFont val="Tahoma"/>
            <family val="2"/>
          </rPr>
          <t>Indicate the date on which the system testing has started</t>
        </r>
      </text>
    </comment>
    <comment ref="I4" authorId="3" shapeId="0">
      <text>
        <r>
          <rPr>
            <b/>
            <sz val="9"/>
            <color indexed="81"/>
            <rFont val="Tahoma"/>
            <family val="2"/>
          </rPr>
          <t>The date on which the system testing has concluded including all the regression tests done , if any</t>
        </r>
        <r>
          <rPr>
            <sz val="8"/>
            <color indexed="81"/>
            <rFont val="Tahoma"/>
            <family val="2"/>
          </rPr>
          <t xml:space="preserve">
</t>
        </r>
      </text>
    </comment>
    <comment ref="A5" authorId="4" shapeId="0">
      <text>
        <r>
          <rPr>
            <b/>
            <sz val="9"/>
            <color indexed="81"/>
            <rFont val="Tahoma"/>
            <family val="2"/>
          </rPr>
          <t>Indicate the scope testing. Eg: If the system test plan is divided into multiple sheets for funtional, behavioral, parametric testing mention the scope in this section</t>
        </r>
        <r>
          <rPr>
            <sz val="9"/>
            <color indexed="81"/>
            <rFont val="Tahoma"/>
            <family val="2"/>
          </rPr>
          <t xml:space="preserve">
</t>
        </r>
      </text>
    </comment>
    <comment ref="O6" authorId="0" shapeId="0">
      <text>
        <r>
          <rPr>
            <b/>
            <sz val="8"/>
            <color indexed="81"/>
            <rFont val="Tahoma"/>
            <family val="2"/>
          </rPr>
          <t>Remarks if any</t>
        </r>
      </text>
    </comment>
    <comment ref="A7" authorId="1" shapeId="0">
      <text>
        <r>
          <rPr>
            <b/>
            <sz val="9"/>
            <color indexed="81"/>
            <rFont val="Tahoma"/>
            <family val="2"/>
          </rPr>
          <t>Unique running serial number</t>
        </r>
        <r>
          <rPr>
            <sz val="9"/>
            <color indexed="81"/>
            <rFont val="Tahoma"/>
            <family val="2"/>
          </rPr>
          <t xml:space="preserve">
</t>
        </r>
      </text>
    </comment>
    <comment ref="B7" authorId="1" shapeId="0">
      <text>
        <r>
          <rPr>
            <b/>
            <sz val="9"/>
            <color indexed="81"/>
            <rFont val="Tahoma"/>
            <family val="2"/>
          </rPr>
          <t>Test Case ID (If assigned in the decision table)</t>
        </r>
      </text>
    </comment>
    <comment ref="C7" authorId="1" shapeId="0">
      <text>
        <r>
          <rPr>
            <b/>
            <sz val="9"/>
            <color indexed="81"/>
            <rFont val="Tahoma"/>
            <family val="2"/>
          </rPr>
          <t>Date on which all the iterations and regression tests as applicable for the particular test were completed</t>
        </r>
      </text>
    </comment>
    <comment ref="D7" authorId="1" shapeId="0">
      <text>
        <r>
          <rPr>
            <b/>
            <sz val="9"/>
            <color indexed="81"/>
            <rFont val="Tahoma"/>
            <family val="2"/>
          </rPr>
          <t>indicate the requirement ID as specified in the RTT</t>
        </r>
      </text>
    </comment>
    <comment ref="E7" authorId="0" shapeId="0">
      <text>
        <r>
          <rPr>
            <b/>
            <sz val="9"/>
            <color indexed="81"/>
            <rFont val="Tahoma"/>
            <family val="2"/>
          </rPr>
          <t xml:space="preserve">
Indicate here the specific details of the test if the information provided in the decision table is not sufficient</t>
        </r>
      </text>
    </comment>
    <comment ref="F7" authorId="1" shapeId="0">
      <text>
        <r>
          <rPr>
            <b/>
            <sz val="9"/>
            <color indexed="81"/>
            <rFont val="Tahoma"/>
            <family val="2"/>
          </rPr>
          <t xml:space="preserve">Describe the test conditions in detail including the set up , interconnections , trigger, pre/post test conditions etc. for each test number
</t>
        </r>
        <r>
          <rPr>
            <sz val="8"/>
            <color indexed="81"/>
            <rFont val="Tahoma"/>
            <family val="2"/>
          </rPr>
          <t xml:space="preserve">
</t>
        </r>
      </text>
    </comment>
    <comment ref="G7" authorId="0" shapeId="0">
      <text>
        <r>
          <rPr>
            <sz val="9"/>
            <color indexed="81"/>
            <rFont val="Tahoma"/>
            <family val="2"/>
          </rPr>
          <t>Mention here the design technique used for arriving at the test case values, like :</t>
        </r>
        <r>
          <rPr>
            <b/>
            <sz val="9"/>
            <color indexed="81"/>
            <rFont val="Tahoma"/>
            <family val="2"/>
          </rPr>
          <t xml:space="preserve">
&gt;Boundary Value Analysis (BVA)
&gt;Equivalence Partitioning  (EP)
&gt;Special Value (SV)
&gt;Error based (EB)
&gt;Input Output Domain (IOD)
</t>
        </r>
      </text>
    </comment>
    <comment ref="J7" authorId="1" shapeId="0">
      <text>
        <r>
          <rPr>
            <b/>
            <sz val="9"/>
            <color indexed="81"/>
            <rFont val="Tahoma"/>
            <family val="2"/>
          </rPr>
          <t>Indicate the iteration number of the test viz., '1' indicates the test is being performed for the first time, '2' indicates that the test is being repeated again
Here, it is assumed the system test is being redone on either the same prototype multiple number of times or being repeated on a different prototype</t>
        </r>
      </text>
    </comment>
    <comment ref="K7" authorId="1" shapeId="0">
      <text>
        <r>
          <rPr>
            <b/>
            <sz val="9"/>
            <color indexed="81"/>
            <rFont val="Tahoma"/>
            <family val="2"/>
          </rPr>
          <t>the actual result indicating the measurements /outcome of the test</t>
        </r>
        <r>
          <rPr>
            <sz val="9"/>
            <color indexed="81"/>
            <rFont val="Tahoma"/>
            <family val="2"/>
          </rPr>
          <t xml:space="preserve">
</t>
        </r>
      </text>
    </comment>
    <comment ref="L7" authorId="1" shapeId="0">
      <text>
        <r>
          <rPr>
            <b/>
            <sz val="9"/>
            <color indexed="81"/>
            <rFont val="Tahoma"/>
            <family val="2"/>
          </rPr>
          <t>Indicate the iteration number of the test viz., '1' indicates the test is being performed for the first time, '2' indicates that the test is being repeated again
Here, it is assumed the system test is being redone on either the same prototype multiple number of times or being repeated on a different prototype</t>
        </r>
      </text>
    </comment>
    <comment ref="M7" authorId="1" shapeId="0">
      <text>
        <r>
          <rPr>
            <b/>
            <sz val="9"/>
            <color indexed="81"/>
            <rFont val="Tahoma"/>
            <family val="2"/>
          </rPr>
          <t>The actual result indicating the measurements /outcome of the test</t>
        </r>
        <r>
          <rPr>
            <sz val="8"/>
            <color indexed="81"/>
            <rFont val="Tahoma"/>
            <family val="2"/>
          </rPr>
          <t xml:space="preserve">
</t>
        </r>
      </text>
    </comment>
    <comment ref="H8" authorId="0" shapeId="0">
      <text>
        <r>
          <rPr>
            <b/>
            <sz val="9"/>
            <color indexed="81"/>
            <rFont val="Tahoma"/>
            <family val="2"/>
          </rPr>
          <t>The parameter through which the output of this test is being measured</t>
        </r>
      </text>
    </comment>
    <comment ref="I8" authorId="5" shapeId="0">
      <text>
        <r>
          <rPr>
            <b/>
            <sz val="9"/>
            <color indexed="81"/>
            <rFont val="Tahoma"/>
            <family val="2"/>
          </rPr>
          <t>Indicate the expected outcome</t>
        </r>
        <r>
          <rPr>
            <sz val="9"/>
            <color indexed="81"/>
            <rFont val="Tahoma"/>
            <family val="2"/>
          </rPr>
          <t xml:space="preserve">
</t>
        </r>
      </text>
    </comment>
  </commentList>
</comments>
</file>

<file path=xl/comments4.xml><?xml version="1.0" encoding="utf-8"?>
<comments xmlns="http://schemas.openxmlformats.org/spreadsheetml/2006/main">
  <authors>
    <author>Pooja Mathur</author>
    <author>Bhuvana L</author>
    <author>pm</author>
    <author>ISD</author>
  </authors>
  <commentList>
    <comment ref="A2" authorId="0" shapeId="0">
      <text>
        <r>
          <rPr>
            <b/>
            <sz val="9"/>
            <color indexed="81"/>
            <rFont val="Tahoma"/>
            <family val="2"/>
          </rPr>
          <t>Project ID allotted by SQA:</t>
        </r>
        <r>
          <rPr>
            <sz val="9"/>
            <color indexed="81"/>
            <rFont val="Tahoma"/>
            <family val="2"/>
          </rPr>
          <t xml:space="preserve">
</t>
        </r>
      </text>
    </comment>
    <comment ref="E2" authorId="0" shapeId="0">
      <text>
        <r>
          <rPr>
            <b/>
            <sz val="9"/>
            <color indexed="81"/>
            <rFont val="Tahoma"/>
            <family val="2"/>
          </rPr>
          <t xml:space="preserve">Name of the project
</t>
        </r>
      </text>
    </comment>
    <comment ref="K2" authorId="0" shapeId="0">
      <text>
        <r>
          <rPr>
            <b/>
            <sz val="9"/>
            <color indexed="81"/>
            <rFont val="Tahoma"/>
            <family val="2"/>
          </rPr>
          <t>Name of the Tester</t>
        </r>
      </text>
    </comment>
    <comment ref="A3" authorId="0" shapeId="0">
      <text>
        <r>
          <rPr>
            <b/>
            <sz val="9"/>
            <color indexed="81"/>
            <rFont val="Tahoma"/>
            <family val="2"/>
          </rPr>
          <t>Total no. of bugs identified in testing</t>
        </r>
        <r>
          <rPr>
            <sz val="9"/>
            <color indexed="81"/>
            <rFont val="Tahoma"/>
            <family val="2"/>
          </rPr>
          <t xml:space="preserve">
</t>
        </r>
      </text>
    </comment>
    <comment ref="E3" authorId="0" shapeId="0">
      <text>
        <r>
          <rPr>
            <b/>
            <sz val="9"/>
            <color indexed="81"/>
            <rFont val="Tahoma"/>
            <family val="2"/>
          </rPr>
          <t>Name of the resource who has analyzed the Bug</t>
        </r>
        <r>
          <rPr>
            <sz val="9"/>
            <color indexed="81"/>
            <rFont val="Tahoma"/>
            <family val="2"/>
          </rPr>
          <t xml:space="preserve">
</t>
        </r>
      </text>
    </comment>
    <comment ref="B4" authorId="1" shapeId="0">
      <text>
        <r>
          <rPr>
            <sz val="9"/>
            <color indexed="81"/>
            <rFont val="Tahoma"/>
            <family val="2"/>
          </rPr>
          <t xml:space="preserve">Type of Testing is being performed
Unit Testing
Integration Testing
Hardware Module Testing
Validation Testing
</t>
        </r>
      </text>
    </comment>
    <comment ref="C4" authorId="2" shapeId="0">
      <text>
        <r>
          <rPr>
            <b/>
            <sz val="8"/>
            <color indexed="81"/>
            <rFont val="Tahoma"/>
            <family val="2"/>
          </rPr>
          <t>This test number shall be the same as the one given in the  plan and results work sheet for the bug being reported</t>
        </r>
        <r>
          <rPr>
            <sz val="8"/>
            <color indexed="81"/>
            <rFont val="Tahoma"/>
            <family val="2"/>
          </rPr>
          <t xml:space="preserve">
</t>
        </r>
      </text>
    </comment>
    <comment ref="D4" authorId="1" shapeId="0">
      <text>
        <r>
          <rPr>
            <b/>
            <sz val="9"/>
            <color indexed="81"/>
            <rFont val="Tahoma"/>
            <family val="2"/>
          </rPr>
          <t>Date on which the bug has been detected</t>
        </r>
        <r>
          <rPr>
            <sz val="9"/>
            <color indexed="81"/>
            <rFont val="Tahoma"/>
            <family val="2"/>
          </rPr>
          <t xml:space="preserve">
</t>
        </r>
      </text>
    </comment>
    <comment ref="E4" authorId="1" shapeId="0">
      <text>
        <r>
          <rPr>
            <sz val="9"/>
            <color indexed="81"/>
            <rFont val="Tahoma"/>
            <family val="2"/>
          </rPr>
          <t xml:space="preserve">
</t>
        </r>
        <r>
          <rPr>
            <b/>
            <sz val="9"/>
            <color indexed="81"/>
            <rFont val="Tahoma"/>
            <family val="2"/>
          </rPr>
          <t>Description of the bug observed</t>
        </r>
      </text>
    </comment>
    <comment ref="G4" authorId="3" shapeId="0">
      <text>
        <r>
          <rPr>
            <b/>
            <sz val="9"/>
            <color indexed="81"/>
            <rFont val="Tahoma"/>
            <family val="2"/>
          </rPr>
          <t xml:space="preserve">The iteration number of the test during which this bug is reported
</t>
        </r>
      </text>
    </comment>
    <comment ref="H4" authorId="3" shapeId="0">
      <text>
        <r>
          <rPr>
            <b/>
            <sz val="9"/>
            <color indexed="81"/>
            <rFont val="Tahoma"/>
            <family val="2"/>
          </rPr>
          <t xml:space="preserve">List all the modules/functions/programs impacted by this bug
</t>
        </r>
      </text>
    </comment>
    <comment ref="I4" authorId="1" shapeId="0">
      <text>
        <r>
          <rPr>
            <b/>
            <sz val="9"/>
            <color indexed="81"/>
            <rFont val="Tahoma"/>
            <family val="2"/>
          </rPr>
          <t>Ex: Source Code version,Alpha/Beta Phase etc</t>
        </r>
        <r>
          <rPr>
            <sz val="9"/>
            <color indexed="81"/>
            <rFont val="Tahoma"/>
            <family val="2"/>
          </rPr>
          <t xml:space="preserve">
</t>
        </r>
      </text>
    </comment>
    <comment ref="J4" authorId="3" shapeId="0">
      <text>
        <r>
          <rPr>
            <b/>
            <sz val="8"/>
            <color indexed="81"/>
            <rFont val="Tahoma"/>
            <family val="2"/>
          </rPr>
          <t>Bug Categories
AI:Assignment / Initialization
AM:Algorithm / Method
BC: Backward Compatibility
BLT:Blocked Test
CH:Checking
CON:Concurrency
DC:Design Conformance
DO:Error in supporting documents
HAC Hardware Configuration
ID: Internal Documentation
IM: Interface / O-O Messages
IN:Integration
INU: Install Upgrade Dependencies
LC: Lateral Compatibility
LD :Language Dependency
LF:Logic Flow
MED:Media
MFI: Maintenance/ Fix Dependencies 
MS:Missing
OPE:Optimization/Performance
PRC:Process Conformance
PSC: Packaging Scripts 
REE:Recovery /Exception
REL:Relationship
RS:Rare Situation
SE:Side Effects
SEQ:Sequencing
SHF:Shipped Files
SOC:Software Configuration
STR:Start Up Restart
TIS:Timing / Serialization
WS:Workload Stress
FRO- Foreign Objects
CFI - Counterfeit items
IMM-Impedance Mismatch
NS-Noise
CL-Clearance
SG:Suggestion
O1 - O11: Others, Please specify</t>
        </r>
      </text>
    </comment>
    <comment ref="K4" authorId="3" shapeId="0">
      <text>
        <r>
          <rPr>
            <b/>
            <sz val="9"/>
            <color indexed="81"/>
            <rFont val="Tahoma"/>
            <family val="2"/>
          </rPr>
          <t xml:space="preserve">Bug Severity
1-Fatal : Total system failure or System hangs 
2-Serious (Operation degraded) :This may include performance inconsistent with the Functional Requirements or data rendered is inconsistent and user cannot proceed with successful test.
3-Minor (Inconvenient usage):These error allows the functionality of the software with some work around.
4-Cosmetic:Improve user interface </t>
        </r>
      </text>
    </comment>
    <comment ref="L4" authorId="3" shapeId="0">
      <text>
        <r>
          <rPr>
            <b/>
            <u/>
            <sz val="9"/>
            <color indexed="81"/>
            <rFont val="Tahoma"/>
            <family val="2"/>
          </rPr>
          <t>Bug Cause</t>
        </r>
        <r>
          <rPr>
            <b/>
            <sz val="9"/>
            <color indexed="81"/>
            <rFont val="Tahoma"/>
            <family val="2"/>
          </rPr>
          <t xml:space="preserve">
CO-Communication Gap
OV-Oversight
UN-Understanding Error
RW-Rework
TR-Lack of Training
TC - Tool limitations/Controller problems
SC - Defects existing in the artefact provided by customer
O1-O3 - Others , please specify.</t>
        </r>
      </text>
    </comment>
    <comment ref="M4" authorId="3" shapeId="0">
      <text>
        <r>
          <rPr>
            <b/>
            <sz val="9"/>
            <color indexed="81"/>
            <rFont val="Tahoma"/>
            <family val="2"/>
          </rPr>
          <t>Fill in this section of the table only when any of the bugs found during the testing phase could be traced to an error escaped through the review of :
REQ: Requirements
HLD: High Level Design(SSAD /OOAD)
DLD/SWD: Detailed Level Design (OOAD) / SW Design (SSAD) / Design Change
HWD/MechD/DFMEA: Hardware Design/Design Change/ Mechanical Design/DFMEA
SCH: Schematics
BOM: Bill Of Materials 
CMP: HW Component Placement
LIB: HW Component Library
PCB: PCB/Gerber
CO: Code
UTPC: Unit Test Plan
ITP: Integrated Test Plan
MTP: Module Test Plan
VTP: Validation Test Plan
STP: System Test Plan</t>
        </r>
      </text>
    </comment>
    <comment ref="N4" authorId="0" shapeId="0">
      <text>
        <r>
          <rPr>
            <b/>
            <sz val="9"/>
            <color indexed="81"/>
            <rFont val="Tahoma"/>
            <family val="2"/>
          </rPr>
          <t xml:space="preserve">Indicate the actions planned  for resolving the bug. </t>
        </r>
        <r>
          <rPr>
            <sz val="8"/>
            <color indexed="81"/>
            <rFont val="Tahoma"/>
            <family val="2"/>
          </rPr>
          <t xml:space="preserve">
</t>
        </r>
      </text>
    </comment>
    <comment ref="O4" authorId="3" shapeId="0">
      <text>
        <r>
          <rPr>
            <b/>
            <sz val="9"/>
            <color indexed="81"/>
            <rFont val="Tahoma"/>
            <family val="2"/>
          </rPr>
          <t xml:space="preserve">Initials of the person to whom this bug is assigned for rectification
</t>
        </r>
      </text>
    </comment>
    <comment ref="P4" authorId="3" shapeId="0">
      <text>
        <r>
          <rPr>
            <b/>
            <u/>
            <sz val="9"/>
            <color indexed="81"/>
            <rFont val="Tahoma"/>
            <family val="2"/>
          </rPr>
          <t>Open -</t>
        </r>
        <r>
          <rPr>
            <b/>
            <sz val="9"/>
            <color indexed="81"/>
            <rFont val="Tahoma"/>
            <family val="2"/>
          </rPr>
          <t xml:space="preserve"> The bug is yet to be resolved.
</t>
        </r>
        <r>
          <rPr>
            <b/>
            <u/>
            <sz val="9"/>
            <color indexed="81"/>
            <rFont val="Tahoma"/>
            <family val="2"/>
          </rPr>
          <t>Fixed-</t>
        </r>
        <r>
          <rPr>
            <b/>
            <sz val="9"/>
            <color indexed="81"/>
            <rFont val="Tahoma"/>
            <family val="2"/>
          </rPr>
          <t>When the bugs are fixed and are awaiting the closure.
Fixed</t>
        </r>
        <r>
          <rPr>
            <b/>
            <u/>
            <sz val="9"/>
            <color indexed="81"/>
            <rFont val="Tahoma"/>
            <family val="2"/>
          </rPr>
          <t xml:space="preserve"> and Closed</t>
        </r>
        <r>
          <rPr>
            <b/>
            <sz val="9"/>
            <color indexed="81"/>
            <rFont val="Tahoma"/>
            <family val="2"/>
          </rPr>
          <t xml:space="preserve">-When fixed bugs are tested and closed. 
</t>
        </r>
        <r>
          <rPr>
            <b/>
            <u/>
            <sz val="9"/>
            <color indexed="81"/>
            <rFont val="Tahoma"/>
            <family val="2"/>
          </rPr>
          <t xml:space="preserve">
Rejected</t>
        </r>
        <r>
          <rPr>
            <b/>
            <sz val="9"/>
            <color indexed="81"/>
            <rFont val="Tahoma"/>
            <family val="2"/>
          </rPr>
          <t>- When no action will be taken on the bug. This status can only be used, if the Bug is categorized as a Suggestion</t>
        </r>
      </text>
    </comment>
    <comment ref="Q4" authorId="3" shapeId="0">
      <text>
        <r>
          <rPr>
            <b/>
            <sz val="9"/>
            <color indexed="81"/>
            <rFont val="Tahoma"/>
            <family val="2"/>
          </rPr>
          <t xml:space="preserve">Date on which the bug is closed
</t>
        </r>
      </text>
    </comment>
    <comment ref="R4" authorId="3" shapeId="0">
      <text>
        <r>
          <rPr>
            <b/>
            <sz val="9"/>
            <color indexed="81"/>
            <rFont val="Tahoma"/>
            <family val="2"/>
          </rPr>
          <t xml:space="preserve">Explanatory text, if required, for the entry
</t>
        </r>
      </text>
    </comment>
  </commentList>
</comments>
</file>

<file path=xl/sharedStrings.xml><?xml version="1.0" encoding="utf-8"?>
<sst xmlns="http://schemas.openxmlformats.org/spreadsheetml/2006/main" count="610" uniqueCount="469">
  <si>
    <t xml:space="preserve">     </t>
  </si>
  <si>
    <t xml:space="preserve"> </t>
  </si>
  <si>
    <t>Ver./Rel. No</t>
  </si>
  <si>
    <t>Release Date</t>
  </si>
  <si>
    <t>Mod.By Mod. Dt</t>
  </si>
  <si>
    <t>Auth By Auth Dt.</t>
  </si>
  <si>
    <t>Project Id.</t>
  </si>
  <si>
    <t>Project Name</t>
  </si>
  <si>
    <t>Bug Category</t>
  </si>
  <si>
    <t>Bug Cause</t>
  </si>
  <si>
    <t>Impacted Work Product</t>
  </si>
  <si>
    <t>Assigned To</t>
  </si>
  <si>
    <t>Status</t>
  </si>
  <si>
    <t xml:space="preserve">Tested By </t>
  </si>
  <si>
    <t>Test bench Details</t>
  </si>
  <si>
    <t xml:space="preserve">Total No. of bugs </t>
  </si>
  <si>
    <t xml:space="preserve">Test No </t>
  </si>
  <si>
    <t>Req ID</t>
  </si>
  <si>
    <t>Expected Result</t>
  </si>
  <si>
    <t>Actual Result</t>
  </si>
  <si>
    <t>Upper Limit</t>
  </si>
  <si>
    <t>Lower Limit</t>
  </si>
  <si>
    <t xml:space="preserve">RS version </t>
  </si>
  <si>
    <t>Sr No</t>
  </si>
  <si>
    <t>Description</t>
  </si>
  <si>
    <t>Conclusion</t>
  </si>
  <si>
    <t>Test Date</t>
  </si>
  <si>
    <t>Test Results</t>
  </si>
  <si>
    <t>Test Start Date</t>
  </si>
  <si>
    <t>Test End Date</t>
  </si>
  <si>
    <t>Limitations / Deficiencies / Risks percieved, if any</t>
  </si>
  <si>
    <t xml:space="preserve">Conclusion </t>
  </si>
  <si>
    <t>Req. ID</t>
  </si>
  <si>
    <t>System Test Plan &amp; Test Results</t>
  </si>
  <si>
    <t>Annexure</t>
  </si>
  <si>
    <t>DOCUMENT HISTORY</t>
  </si>
  <si>
    <t>Remarks/Revision Details</t>
  </si>
  <si>
    <t>Rev. By Relevant Stakeholders Rev. Dt.</t>
  </si>
  <si>
    <t>Bug Severity</t>
  </si>
  <si>
    <t>UOM</t>
  </si>
  <si>
    <t>Iteration No.</t>
  </si>
  <si>
    <t>System Test plan prepared /last modified on</t>
  </si>
  <si>
    <t>System Test plan prepared /last modified by</t>
  </si>
  <si>
    <t>Regression Test, if any</t>
  </si>
  <si>
    <t>Details of As - Run Tests</t>
  </si>
  <si>
    <t>Project ID</t>
  </si>
  <si>
    <t>Test No.</t>
  </si>
  <si>
    <t>SYSTEM  TEST PLAN / TEST RESULTS</t>
  </si>
  <si>
    <t xml:space="preserve">Firmware /Software  version </t>
  </si>
  <si>
    <t>Action Plan</t>
  </si>
  <si>
    <t>Project ID allotted by SQA</t>
  </si>
  <si>
    <t xml:space="preserve">Name of the project </t>
  </si>
  <si>
    <t>Initials of the person who has prepared or  last modified the System Test Plan</t>
  </si>
  <si>
    <t>Indicate the version of RS against which this Test Plan is prepared / updated</t>
  </si>
  <si>
    <t>Version of the firmware / Software being tested</t>
  </si>
  <si>
    <t>The date on which the system testing has concluded including all the regression tests done , if any</t>
  </si>
  <si>
    <t>Count of the total number of bugs uncovered from System testing (including regression tests done if any)</t>
  </si>
  <si>
    <t>Indicate the requirement ID as specified in the RTT</t>
  </si>
  <si>
    <t>Indicate the results expected as per customer's requirement</t>
  </si>
  <si>
    <t>Acceptable Upper limit of the expected result, as applicable</t>
  </si>
  <si>
    <t>Acceptable Lower Limit of the expected result, as applicable</t>
  </si>
  <si>
    <t>Indicate the unit of measurement as appropriate</t>
  </si>
  <si>
    <t>indicate the iteration number of the test viz., '1' indicates the test is being performed for the first time, '2' indicates that the test is being repeated again
here, it is assumed the system test is being redone on either the same prototype multiple number of times or being repeated on a different prototype</t>
  </si>
  <si>
    <t>the actual result indicating the measurements /outcome of the test</t>
  </si>
  <si>
    <t xml:space="preserve"> A: Acceptable
 B: Not Acceptable
 C: To be Reworked
 D: Accepted with Limitations</t>
  </si>
  <si>
    <t>&lt;Take into account the inferences drawn out of the test/regression test results as explained above, limitations, deficiencies and risks perceived before arriving at the conclusion on the acceptance or rejection of the product.&gt;</t>
  </si>
  <si>
    <t>Inference on the acceptability  of the results</t>
  </si>
  <si>
    <t>Enlist here  other test sequences followed during the actual test (which are not planned in the above table)</t>
  </si>
  <si>
    <t>indicate the limitations/ deficiencies/risks expected  in the final product performance taking into consideration the results of system testing</t>
  </si>
  <si>
    <t>Tested On</t>
  </si>
  <si>
    <t>indicate the initials of the person conducting the test</t>
  </si>
  <si>
    <t>indicate the date on which the test was concluded</t>
  </si>
  <si>
    <t>Take into account the inferences drawn out of the test/regression test results as explained above, limitations, deficiencies and risks perceived before arriving at the conclusion on the acceptance or rejection of the product</t>
  </si>
  <si>
    <t>Initials of the person who has performed the analysis on the system test results</t>
  </si>
  <si>
    <t>Name of the project</t>
  </si>
  <si>
    <t xml:space="preserve">unique running serial number as given in the System Test plan / Test results work sheet
</t>
  </si>
  <si>
    <t>Indicate the action planned  for solving the bug. For example, this bug will be taken for fixing in the next version as per our understanding with the customer.</t>
  </si>
  <si>
    <t>Initials of the person responsible for fixing the Bug</t>
  </si>
  <si>
    <t>Test Environment Details</t>
  </si>
  <si>
    <t>Indicate the test environment if the test is performed in other than the normal ambient conditions</t>
  </si>
  <si>
    <t>Sr. No.</t>
  </si>
  <si>
    <t>Decision table</t>
  </si>
  <si>
    <t>Acronym</t>
  </si>
  <si>
    <t xml:space="preserve">Cause </t>
  </si>
  <si>
    <t>OV</t>
  </si>
  <si>
    <t>Oversight</t>
  </si>
  <si>
    <t>Due to factors or aspects of design overlooked during development.</t>
  </si>
  <si>
    <t>UN</t>
  </si>
  <si>
    <t xml:space="preserve">Failure in Understanding </t>
  </si>
  <si>
    <t>Due to a lack of understanding of the particular concept in question</t>
  </si>
  <si>
    <t>TR</t>
  </si>
  <si>
    <t>Lack of Training</t>
  </si>
  <si>
    <t>Caused when the person is not adequately trained for the particular application and the error is attributed to knowledge related to the same.</t>
  </si>
  <si>
    <t>CO</t>
  </si>
  <si>
    <t>Communication Gap</t>
  </si>
  <si>
    <t>Due to lack of communication, or exchange of information  between various individuals groups</t>
  </si>
  <si>
    <t>RW</t>
  </si>
  <si>
    <t>Rework</t>
  </si>
  <si>
    <t>Unintended errors caused during rework of the work product.</t>
  </si>
  <si>
    <t>TC</t>
  </si>
  <si>
    <t>Tool Constraints</t>
  </si>
  <si>
    <t>Errors attributed to limitations in the tools used for developing the work product.</t>
  </si>
  <si>
    <t>SC</t>
  </si>
  <si>
    <t>Others</t>
  </si>
  <si>
    <t>Category</t>
  </si>
  <si>
    <t>AI</t>
  </si>
  <si>
    <t>Assignment /Initialization</t>
  </si>
  <si>
    <t>The bug is one or more values that are unassigned or assigned incorrectly.(code oversights like failing to initialize parameters)</t>
  </si>
  <si>
    <t>AM</t>
  </si>
  <si>
    <t>Algorithm / Method</t>
  </si>
  <si>
    <t>Problem can be fixed by rewriting the algorithm or local data structure without the need of a design change request.</t>
  </si>
  <si>
    <t>BC</t>
  </si>
  <si>
    <t>Backward Compatibility</t>
  </si>
  <si>
    <t>An incompatibility between functions described in the design document or code and an earlier version of the same function or element.</t>
  </si>
  <si>
    <t>BLT</t>
  </si>
  <si>
    <t>Blocked test</t>
  </si>
  <si>
    <t>CH</t>
  </si>
  <si>
    <t>Checking</t>
  </si>
  <si>
    <t>The bug consists of missing or incorrect validation of parameters or data in conditional statements.</t>
  </si>
  <si>
    <t>CON</t>
  </si>
  <si>
    <t>Concurrency</t>
  </si>
  <si>
    <t>Shared resources that are not being managed in a serial order.</t>
  </si>
  <si>
    <t xml:space="preserve">DC </t>
  </si>
  <si>
    <t>Design Conformance</t>
  </si>
  <si>
    <t>A mismatch between a design element or code segment and its specifications from the preceding development stage (missing, incorrect or extraneous)</t>
  </si>
  <si>
    <t>DO</t>
  </si>
  <si>
    <t>Error in supporting documents</t>
  </si>
  <si>
    <t>Lapses attributed to errors  existing in the documents which were used as a reference for the concerned work product are placed in this category.</t>
  </si>
  <si>
    <t>HAC</t>
  </si>
  <si>
    <t>Hardware Configuration</t>
  </si>
  <si>
    <r>
      <t xml:space="preserve">An error is found when the system is being tested  to make sure that it is operating correctly under a variety of supported hardware configurations 
</t>
    </r>
    <r>
      <rPr>
        <i/>
        <sz val="10"/>
        <rFont val="Tahoma"/>
        <family val="2"/>
      </rPr>
      <t>For example, the software fails to print a job on a particular brand of printer.</t>
    </r>
  </si>
  <si>
    <t>ID</t>
  </si>
  <si>
    <t>Internal Documentation</t>
  </si>
  <si>
    <t>IM</t>
  </si>
  <si>
    <t>Interface / O-O Messages</t>
  </si>
  <si>
    <t>The fix required solving communication problems between programming entities and their data exchange routines.</t>
  </si>
  <si>
    <t>IN</t>
  </si>
  <si>
    <t>Integration</t>
  </si>
  <si>
    <t>INU</t>
  </si>
  <si>
    <t>LC</t>
  </si>
  <si>
    <t>Lateral Compatibility</t>
  </si>
  <si>
    <t>The function described by the design document or code is incompatible with another system, product, service or component with which it must interact.</t>
  </si>
  <si>
    <t>LD</t>
  </si>
  <si>
    <t>LF</t>
  </si>
  <si>
    <t>Logic Flow</t>
  </si>
  <si>
    <t>An error or inconsistency in the data or in the logical flow of a design element. 
For example, While reviewing code you realize  that the counter variable for the while loop is initialized to a wrong value.</t>
  </si>
  <si>
    <t>MED</t>
  </si>
  <si>
    <t>Media</t>
  </si>
  <si>
    <t>The package used to distribute the software is damaged .
For example, there may be a data over-run error on the CD ROM.</t>
  </si>
  <si>
    <t>MFI</t>
  </si>
  <si>
    <t>A fix was incorrectly packaged.</t>
  </si>
  <si>
    <t>MS</t>
  </si>
  <si>
    <t>Missing</t>
  </si>
  <si>
    <t xml:space="preserve">Items missing from the work product </t>
  </si>
  <si>
    <t>OPE</t>
  </si>
  <si>
    <t>OP/P</t>
  </si>
  <si>
    <t>Optimization / performance related inadequacies</t>
  </si>
  <si>
    <t>PRC</t>
  </si>
  <si>
    <t>Process Conformance</t>
  </si>
  <si>
    <t>The build procedure was not specified or followed correctly or there was a failure to communicate the necessary change.</t>
  </si>
  <si>
    <t>PSC</t>
  </si>
  <si>
    <t>Packaging Scripts</t>
  </si>
  <si>
    <t>These were errors in the script used to install , uninstall, migrate or upgrade the system.</t>
  </si>
  <si>
    <t>REE</t>
  </si>
  <si>
    <t>Recovery/Exception</t>
  </si>
  <si>
    <t>The system test fails while testing whether  an exception handler or some type of system recovery code is correctly invoked when a fault occurs.</t>
  </si>
  <si>
    <t>REL</t>
  </si>
  <si>
    <t>Relationship</t>
  </si>
  <si>
    <t>These fixes relate to problems among procedures, data structures and objects.</t>
  </si>
  <si>
    <t>RS</t>
  </si>
  <si>
    <t>Rare Situation</t>
  </si>
  <si>
    <t>SE</t>
  </si>
  <si>
    <t>Side Effects</t>
  </si>
  <si>
    <t>Inadequacies  outside the scope of the current design or code under review, but that affects the interaction of this component with other components already within the system environment.</t>
  </si>
  <si>
    <t>SEQ</t>
  </si>
  <si>
    <t>Sequencing</t>
  </si>
  <si>
    <t>failure of the code while attempting to run multiple functions in a very specific sequence.</t>
  </si>
  <si>
    <t>SHF</t>
  </si>
  <si>
    <t>Shipped Files</t>
  </si>
  <si>
    <t>These are problems with the shipped files , such as dual ownership or system errors like checksums or incorrect file size.</t>
  </si>
  <si>
    <t>SOC</t>
  </si>
  <si>
    <t xml:space="preserve">An error is found when the system is being tested  to make sure that it is operating correctly under a variety of supported Software configurations 
</t>
  </si>
  <si>
    <t>STR</t>
  </si>
  <si>
    <t>Start up/Restart</t>
  </si>
  <si>
    <t>After a failure the system or a sub system is powering up or is being restarted.</t>
  </si>
  <si>
    <t>TIS</t>
  </si>
  <si>
    <t>Timing / Serialization</t>
  </si>
  <si>
    <t>The fix involves correcting a problem with the sequence or timing of a shared resource and is more complex in nature than a simple assignment or other error that may result in a timing or serialization error.</t>
  </si>
  <si>
    <t>WS</t>
  </si>
  <si>
    <t>Workload Stress</t>
  </si>
  <si>
    <t>Note:</t>
  </si>
  <si>
    <t>Data Elements</t>
  </si>
  <si>
    <t>Test Case Scenarios</t>
  </si>
  <si>
    <t>T1</t>
  </si>
  <si>
    <t>T2</t>
  </si>
  <si>
    <t>T</t>
  </si>
  <si>
    <t xml:space="preserve">Results in </t>
  </si>
  <si>
    <t>Input Test Values</t>
  </si>
  <si>
    <t xml:space="preserve">Test Case Designed For </t>
  </si>
  <si>
    <t>Input Values</t>
  </si>
  <si>
    <r>
      <t>&lt;</t>
    </r>
    <r>
      <rPr>
        <sz val="14"/>
        <rFont val="Arial"/>
        <family val="2"/>
      </rPr>
      <t>Trend Managemen</t>
    </r>
    <r>
      <rPr>
        <sz val="14"/>
        <color indexed="10"/>
        <rFont val="Arial"/>
        <family val="2"/>
      </rPr>
      <t>t&gt;</t>
    </r>
  </si>
  <si>
    <t xml:space="preserve">Expected Output </t>
  </si>
  <si>
    <t>Data Element</t>
  </si>
  <si>
    <t>Output Parameter</t>
  </si>
  <si>
    <t>Indicate here the specific details of the test if the information provided in the decision table is not sufficient</t>
  </si>
  <si>
    <t>Input data for each of the data elements connected with each business scenario</t>
  </si>
  <si>
    <t>For each of the data elements assign specific input values considering the business scenario under test</t>
  </si>
  <si>
    <t xml:space="preserve">Mention here the design technique used for arriving at the test case values, like :
&gt;Boundary Value Analysis
&gt;Equivalence Partitioning
&gt;Domain Analysis
&gt;Special Value
&gt;Error based
&gt;Robustness test cases
</t>
  </si>
  <si>
    <t>The parameter through which the output of this test is being measured</t>
  </si>
  <si>
    <t>Closed on Date</t>
  </si>
  <si>
    <t>The iteration number of the test during which this bug is reported</t>
  </si>
  <si>
    <t xml:space="preserve">Category wise Distribution Of  Bugs </t>
  </si>
  <si>
    <t xml:space="preserve">Cause wise Distribution Of  Bugs </t>
  </si>
  <si>
    <t>System Test Cases</t>
  </si>
  <si>
    <t xml:space="preserve">Test Case Scenario No </t>
  </si>
  <si>
    <t>Test Case Scenario Description</t>
  </si>
  <si>
    <t>Test Description (explaining test Condition, Setup and other details)</t>
  </si>
  <si>
    <t xml:space="preserve">Bugs first escaped through the review of  </t>
  </si>
  <si>
    <t xml:space="preserve">Bug Severity
1-Fatal : Total system failure or System hangs 
2-Serious (Operation degraded) :This may include performance inconsistent with the Functional Requirements or data rendered is inconsistent and user cannot proceed with successful test.
3-Minor (Inconvenient usage):These error allows the functionality of the software with some work around.
4-Cosmetic:Improve user interface </t>
  </si>
  <si>
    <t>Remarks (If any)</t>
  </si>
  <si>
    <t>Remarks if any</t>
  </si>
  <si>
    <t>Remarks (if any)</t>
  </si>
  <si>
    <t>Closed on date</t>
  </si>
  <si>
    <t>Date on which the bug is closed.</t>
  </si>
  <si>
    <t>Test number with respect to requirement ID</t>
  </si>
  <si>
    <t>date on which all the iterations and regression tests as applicable for the particular test were completed</t>
  </si>
  <si>
    <t>Requirement Description</t>
  </si>
  <si>
    <r>
      <t>1.Use this decision table to arrive at the test case scenarios for each Requiremetn ID  as necessary.
2. Insert rows for data elements if more data elements need to be addded .
3. Insert columns for test case scenarios as necessary.
4. Copy this table for generating test case scenarios for other Requirement IDs
5. Remove the text within angle brackets</t>
    </r>
    <r>
      <rPr>
        <sz val="10"/>
        <color indexed="10"/>
        <rFont val="Arial"/>
        <family val="2"/>
      </rPr>
      <t xml:space="preserve">&lt;&gt; </t>
    </r>
    <r>
      <rPr>
        <sz val="10"/>
        <rFont val="Arial"/>
        <family val="2"/>
      </rPr>
      <t>while using the template</t>
    </r>
  </si>
  <si>
    <r>
      <t xml:space="preserve">&lt;  </t>
    </r>
    <r>
      <rPr>
        <sz val="10"/>
        <rFont val="Arial"/>
        <family val="2"/>
      </rPr>
      <t>MM01</t>
    </r>
  </si>
  <si>
    <t>M MODE</t>
  </si>
  <si>
    <t>B MODE</t>
  </si>
  <si>
    <t>B+M MODE</t>
  </si>
  <si>
    <t>B/M MODE</t>
  </si>
  <si>
    <t>B+B MODE</t>
  </si>
  <si>
    <t>4B MODE</t>
  </si>
  <si>
    <t>FREEZE</t>
  </si>
  <si>
    <t>Y</t>
  </si>
  <si>
    <t>KEY ALLOWED</t>
  </si>
  <si>
    <t>KEYBACK LIGHT</t>
  </si>
  <si>
    <t>UPDATE OVERLAY</t>
  </si>
  <si>
    <t>UPDATE TECHDATA</t>
  </si>
  <si>
    <t>MOUSE SET</t>
  </si>
  <si>
    <t>MOUSE SKIP</t>
  </si>
  <si>
    <t>MOUSE MOVE</t>
  </si>
  <si>
    <t>DEPTH UP</t>
  </si>
  <si>
    <t>D1</t>
  </si>
  <si>
    <t>D2</t>
  </si>
  <si>
    <t>D3</t>
  </si>
  <si>
    <t>D4</t>
  </si>
  <si>
    <t>D5</t>
  </si>
  <si>
    <t>D6</t>
  </si>
  <si>
    <t>D7</t>
  </si>
  <si>
    <t>D8</t>
  </si>
  <si>
    <t>T3</t>
  </si>
  <si>
    <t>T4</t>
  </si>
  <si>
    <t>T5</t>
  </si>
  <si>
    <t>T6</t>
  </si>
  <si>
    <t>T7</t>
  </si>
  <si>
    <t>T8</t>
  </si>
  <si>
    <t>DC</t>
  </si>
  <si>
    <t>Fill in this section of the table only when any of the bugs found during the testing phase could be traced to an error escaped through the review of :
REQ: Requirements
HLD: High Level Design (SSAD / OOAD)
DLD / SWD  : Detailed Level Design (OOAD) / SW Design (SSAD) / Design Change
HWD/MechD/DFMEA: Hardware Design/Design Change/ Mechanical Design/DFMEA
SCH: Schematics
BOM: Bill Of Materials 
CMP: HW Componenet Placement
LIB: HW Componenet Library
PCB: PCB/Gerber
CO: Code
UTPC: Unit Test Plan
ITP: Integrated Test Plan
MTP: Module Test Plan
VTP: Validation Test Plan
STP: System Test Plan</t>
  </si>
  <si>
    <t>Analysed By</t>
  </si>
  <si>
    <t>O1</t>
  </si>
  <si>
    <t>O2</t>
  </si>
  <si>
    <t>O3</t>
  </si>
  <si>
    <t>O4</t>
  </si>
  <si>
    <t>O5</t>
  </si>
  <si>
    <t>O6</t>
  </si>
  <si>
    <t>O7</t>
  </si>
  <si>
    <t>O8</t>
  </si>
  <si>
    <t>O9</t>
  </si>
  <si>
    <t>O10</t>
  </si>
  <si>
    <t>O11</t>
  </si>
  <si>
    <t>O1 - O3</t>
  </si>
  <si>
    <t>Field</t>
  </si>
  <si>
    <t>Indicate the work products which need to undergo revision due to this bug.</t>
  </si>
  <si>
    <t>It is a situation where you cannot complete the planned  system test scenario because the product fails in a very basic manner.</t>
  </si>
  <si>
    <t>Incorrect, inconsistent or incomplete information within the internal documentation (for example, comments in the code, etc.)</t>
  </si>
  <si>
    <t>These are problems with the files required for installation . 
For example, the package may specify incorrect or missing files.</t>
  </si>
  <si>
    <t>When the system is operating at or near its upper or lower resource limits, it fails.
For example, 
&gt;when a system is running idle, it hangs or crashes.
&gt;System crashes while handling large or small jobs or running multiple products at one time.</t>
  </si>
  <si>
    <t xml:space="preserve"> SystemTest Plan /Test Results</t>
  </si>
  <si>
    <t>Test Case ID (If assigned in the decision table)</t>
  </si>
  <si>
    <t>Project Id</t>
  </si>
  <si>
    <t>Indicate the details of the bug &amp; the condition during the test, when it appeared</t>
  </si>
  <si>
    <t>Expected outcome</t>
  </si>
  <si>
    <t>Expected Outcome</t>
  </si>
  <si>
    <t>Indicate the expected outcome for the test case</t>
  </si>
  <si>
    <t>Test Result Summary</t>
  </si>
  <si>
    <t>Tests</t>
  </si>
  <si>
    <t>% of test cases passed</t>
  </si>
  <si>
    <t>% of test cases failed</t>
  </si>
  <si>
    <t>% of test cases not executed</t>
  </si>
  <si>
    <t>Iteration 1</t>
  </si>
  <si>
    <t>Iteration 2</t>
  </si>
  <si>
    <t>Note : Add columns to capture the test results if more than 3 iterations are carried out.</t>
  </si>
  <si>
    <t>Reference Artifacts used for Testing</t>
  </si>
  <si>
    <t>Document ID</t>
  </si>
  <si>
    <t>Document Name</t>
  </si>
  <si>
    <t>Hardware Tools / Environment required for Testing</t>
  </si>
  <si>
    <t>Description of the Tool / Environment used for Testing</t>
  </si>
  <si>
    <t>Configuration</t>
  </si>
  <si>
    <t>Due for Calibration On</t>
  </si>
  <si>
    <t>Software Tools required for Testing</t>
  </si>
  <si>
    <t xml:space="preserve">Sl. No. </t>
  </si>
  <si>
    <t>Ver no.</t>
  </si>
  <si>
    <t>Summary of Testing</t>
  </si>
  <si>
    <t>Tested By</t>
  </si>
  <si>
    <t>Description of the Software Tool used for Testing</t>
  </si>
  <si>
    <t>Number of Bugs</t>
  </si>
  <si>
    <t>SG</t>
  </si>
  <si>
    <t>Suggestion</t>
  </si>
  <si>
    <t>This category relates to methodologies or changes which can help in improving the existing design but may be rejected if it does not affect the product's overall performance.</t>
  </si>
  <si>
    <t>Specify the test equipment /tools used for performing the system testing
along with their version /configuration details</t>
  </si>
  <si>
    <t>Limitations / Deficiencies / Risks perceived, if any</t>
  </si>
  <si>
    <t>Any other specific Causes may be categorized here.</t>
  </si>
  <si>
    <t>An interaction between two or more functions or components causes a bug to surface . Each function completes successfully when run independently, but the interaction fails in this specific combination.</t>
  </si>
  <si>
    <t>Install Upgrade Dependencies</t>
  </si>
  <si>
    <t>Language dependency</t>
  </si>
  <si>
    <t>This trigger reveals that the design or code does not comply with the definitions, standards, efficiencies, or compilation concerns of a particular programming language as applicable for the project.</t>
  </si>
  <si>
    <t>Maintenance/ Fix Dependencies</t>
  </si>
  <si>
    <t xml:space="preserve"> some unusual or atypical system behavior or configuration that is not addressed by the design or code under review</t>
  </si>
  <si>
    <t>Software Configuration</t>
  </si>
  <si>
    <t xml:space="preserve">Note: 
1. The decision table worksheet shall be used for arriving at all the possible test case scenarios taking into consideration all the input data elements and the actions expected .
2.It is expected that these test case scenarios shall be used to generate multiple test cases to uncover errors in the system test plan worksheet. It is important to cover all the test case scenarios while generating the specific test cases.
3. The findings of the test are analyzed later on the results analysis sheet to facilitate causal analysis.
</t>
  </si>
  <si>
    <t>Analyzed By</t>
  </si>
  <si>
    <t>Iteration 3</t>
  </si>
  <si>
    <t>Regression Testing</t>
  </si>
  <si>
    <t>Open - The bug is yet to be resolved.
Fixed-When the bugs are fixed but yet to be proven throgh Regression Testing
Fixed and Closed-When fixed bugs are tested and closed.
Rejected-When no action will be taken on the bug. This status can only be used, if the Bug is categorized as a Suggestion</t>
  </si>
  <si>
    <t xml:space="preserve">System Test Plan (A verification plan at system level which captures System Test Specifications / conditions, Test Bench Details, Test Environment, Expected Results, Acceptance Criteria etc. that will be used to verify and ensure that a product / project or system meets its requirements/specifications) 
System Test Results (Records the Test Bench Details, Test Environment, Actual Results on the test specifications / conditions indicating whether acceptance criteria defined has been met or not. Inference is drawn based on test results).
</t>
  </si>
  <si>
    <t>Bug Cause
CO-Communication Gap
OV-Oversight
UN-Understanding Error
RW-Rework
TR-Lack of Training
TC - Tool limitations/Controller problems
SC - Defects existing in the artefact provided by customer
O1 - O3- Others , please specify.</t>
  </si>
  <si>
    <t>Defects existing in the artefact provided by customer</t>
  </si>
  <si>
    <t>Existing in the artefact provided by customer</t>
  </si>
  <si>
    <t>System Test Plan /Test Results</t>
  </si>
  <si>
    <t>Note :</t>
  </si>
  <si>
    <t>Clear System test Results Button : On hitting this button, the system test results (including run test results) will be cleared if "YES" option is chosen. 
If the template is tailored, then "Clear System test Results" will not work. Results are to be manually cleared in that case.</t>
  </si>
  <si>
    <t>Scope of  Testing</t>
  </si>
  <si>
    <t>Scope of Testing</t>
  </si>
  <si>
    <t>Indicate the scope of testing being covered</t>
  </si>
  <si>
    <t>describe the test conditions in detail including the set up , interconnections , trigger, pre/post test conditions, trigger etc. for each test number</t>
  </si>
  <si>
    <t>List all the  input data conditions connected to this test scenario</t>
  </si>
  <si>
    <t>Indicate the date on which the system test plan was prepared or last modified whichever is later</t>
  </si>
  <si>
    <t xml:space="preserve">
Indicate the date on which the system testing has started</t>
  </si>
  <si>
    <t>IMM</t>
  </si>
  <si>
    <t>NS</t>
  </si>
  <si>
    <t>CL</t>
  </si>
  <si>
    <t>Impedance Mismatch</t>
  </si>
  <si>
    <t>A mismatch between source and load impedance (Z)
For e.g. It can be improved by placing an apparent load to the source of 
Z load = Z source* (complex conjugate matching), to extract maximum power from the source</t>
  </si>
  <si>
    <t>Noise</t>
  </si>
  <si>
    <t>Random fluctuation in an electrical signal. It can also be an error or undesired random disturbance of a useful information signal in a communication channel.</t>
  </si>
  <si>
    <t>Clearance</t>
  </si>
  <si>
    <t>The evaluation of clearance  (shortest distance between two conductive parts, or between a conductive part and the bounding surface of the equipment or component to chaises, measured through air) for components that are mounted above the printed circuit board is incorrect</t>
  </si>
  <si>
    <t>O1 - O11</t>
  </si>
  <si>
    <t>FRO</t>
  </si>
  <si>
    <t>CFI</t>
  </si>
  <si>
    <t>Bug Categories
AI:Assignment / Initialization
AM:Algorithm / Method
BC: Backward Compatibility
BLT:Blocked Test
CH:Checking
CON:Concurrency
DC:Design Conformance
DO:Error in supporting documents
HAC Hardware Configuration
ID: Internal Documentation
IM: Interface / O-O Messages
IN:Integration
INU: Install Upgrade Dependencies
LC: Lateral Compatibility
LD :Language Dependency
LF:Logic Flow
MED:Media
MFI: Maintenance/ Fix Dependencies 
MS:Missing
OPE:Optimization/Performance
PRC:Process Conformance
PSC: Packaging Scripts 
REE:Recovery /Exception
REL:Relationship
RS:Rare Situation
SE:Side Effects
SEQ:Sequencing
SHF:Shipped Files
SOC:Software Configuration
STR:Start Up Restart
TIS:Timing / Serialization
WS:Workload Stress
FRO- Foreign Objects
CFI - Counterfeit item
IMM:Impedance Mismatch
NS:Noise
CL:Clearance 
SG:Suggestion                                      
O1 - O11 :Others, Please specify</t>
  </si>
  <si>
    <t>Counterfeit Items</t>
  </si>
  <si>
    <t>An unauthorized copy, imitation, substitute or modified part (e.g., material, part, component), which is knowingly misrepresented as a specified genuine part of an original or authorized manufacturer.</t>
  </si>
  <si>
    <t>The occurrence of extraneous or unwanted contents in the work product i.e., the error was due to something not relevant or pertinent to the document or code. E.g., There is a section of the design document which is not pertinent to the current product and should be removed.</t>
  </si>
  <si>
    <t>Foreign Objects</t>
  </si>
  <si>
    <t>Type of Testing</t>
  </si>
  <si>
    <t>Total No. of Bugs</t>
  </si>
  <si>
    <t>Sl No.</t>
  </si>
  <si>
    <t>Bug Description</t>
  </si>
  <si>
    <t>Impacted work products</t>
  </si>
  <si>
    <t>Remarks</t>
  </si>
  <si>
    <t>Initials of the person who has performed the System Testing</t>
  </si>
  <si>
    <t>Type of testing</t>
  </si>
  <si>
    <t>Total number of Bugs</t>
  </si>
  <si>
    <t>Total number of bugs identified during system testing</t>
  </si>
  <si>
    <t>Type of testing is being performed</t>
  </si>
  <si>
    <t>Unique ID of the impacted work product being tested.Ex:Source Code version,Alpha/Beta phase</t>
  </si>
  <si>
    <t>Bug Report</t>
  </si>
  <si>
    <t>Version of the Impacted work product</t>
  </si>
  <si>
    <t>Version of the impacted work product</t>
  </si>
  <si>
    <t>Firmware/Software version</t>
  </si>
  <si>
    <t>Date on which the bug detected</t>
  </si>
  <si>
    <t>Date of Bug detection</t>
  </si>
  <si>
    <t>Annexure for Bug Report</t>
  </si>
  <si>
    <t>NA</t>
  </si>
  <si>
    <t>EMB_VER_07F/5.3/11-Aug-17</t>
  </si>
  <si>
    <t>To provide Co-existence testing application for Converged Devices</t>
  </si>
  <si>
    <t>SWR_01</t>
  </si>
  <si>
    <t>SWR_02</t>
  </si>
  <si>
    <t>SWR_03</t>
  </si>
  <si>
    <t>SWR_04</t>
  </si>
  <si>
    <t>SWR_05</t>
  </si>
  <si>
    <t>SWR_06</t>
  </si>
  <si>
    <t>SWR_07</t>
  </si>
  <si>
    <t>SWR_08</t>
  </si>
  <si>
    <t xml:space="preserve">Android Studio </t>
  </si>
  <si>
    <t xml:space="preserve">Gradle </t>
  </si>
  <si>
    <t xml:space="preserve">ADB </t>
  </si>
  <si>
    <t>SWR_01_TC_01</t>
  </si>
  <si>
    <t>NA as of now</t>
  </si>
  <si>
    <t>LTTS_Motorola_Co-Existence Testing</t>
  </si>
  <si>
    <t>Yet to define</t>
  </si>
  <si>
    <t xml:space="preserve">Test Case Description </t>
  </si>
  <si>
    <t>SWR_01_TC_02</t>
  </si>
  <si>
    <t>SWR_01_TC_03</t>
  </si>
  <si>
    <t>SWR_01_TC_04</t>
  </si>
  <si>
    <t>SWR_01_TC_05</t>
  </si>
  <si>
    <t>SWR_01_TC_06</t>
  </si>
  <si>
    <t>SWR_01_TC_07</t>
  </si>
  <si>
    <t>SWR_01_TC_08</t>
  </si>
  <si>
    <t>Raghavendra CS</t>
  </si>
  <si>
    <t>Camera Annotations</t>
  </si>
  <si>
    <t xml:space="preserve">NA </t>
  </si>
  <si>
    <t xml:space="preserve">Shadown Project Document </t>
  </si>
  <si>
    <t xml:space="preserve"> Android Smartphone </t>
  </si>
  <si>
    <t>Stable Android 8.0 Oreo and +</t>
  </si>
  <si>
    <t>v 4.1</t>
  </si>
  <si>
    <t>v 6.5</t>
  </si>
  <si>
    <t xml:space="preserve">Android Gradle Plugin Version </t>
  </si>
  <si>
    <t>v 1.4.3</t>
  </si>
  <si>
    <t>v 4.1.1</t>
  </si>
  <si>
    <t xml:space="preserve">Application should launch and should work as sepcified </t>
  </si>
  <si>
    <t xml:space="preserve">Render inbuilt camera stream into application UI. </t>
  </si>
  <si>
    <t>Annotate over the camera stream via Text or Pen with black colour. Colour selection widget is optional</t>
  </si>
  <si>
    <t>Application should allow users to select the necessary required annotaion and take notes via text / pen</t>
  </si>
  <si>
    <t>Provide Erase all options to clear screen of annotations.</t>
  </si>
  <si>
    <t xml:space="preserve">Application should be able to provide an erase all button that will erase all the annotations at one tap and clear the screen </t>
  </si>
  <si>
    <t xml:space="preserve">With the writeable widgets, an extra Erase button enabled which will erase/Clear all the Notes and Scribbles taken at one tap. </t>
  </si>
  <si>
    <t>Annotation widget shall allow free hand drawing on the screen via Pen option.</t>
  </si>
  <si>
    <t xml:space="preserve">Annotation on the video is of 2 types, the first being the writing notes via a pen tool which will enable the user to write handsfree on the stream screen live
</t>
  </si>
  <si>
    <t xml:space="preserve"> Application should provide various forms of annotaions.</t>
  </si>
  <si>
    <t>Annotation widget shall also allow to do text input on the screen. User should be able to Tap and write over the camera preview screen.</t>
  </si>
  <si>
    <t xml:space="preserve">The other way of using the widgets and taking notes would be to take notes via the traditional Text format, user should be able to click on the video recording stream and with the help of on – screen keyboard type in the notes.
</t>
  </si>
  <si>
    <t>Application should provide free hand annotations on the dyanmic video screen.</t>
  </si>
  <si>
    <t>Application should able to instantly save the instance of the video along with annotaions.</t>
  </si>
  <si>
    <t xml:space="preserve">Andriod Application Launch - without crashing </t>
  </si>
  <si>
    <t>Android Smartphone running on Android 5.0 + with deault camera app with it</t>
  </si>
  <si>
    <t>Uninstall and reinstall the application if required</t>
  </si>
  <si>
    <t>SWR_09</t>
  </si>
  <si>
    <t>SWR_01_TC_09</t>
  </si>
  <si>
    <t>SWR_01_TC_10</t>
  </si>
  <si>
    <t>SWR_10</t>
  </si>
  <si>
    <t xml:space="preserve">To the camera application except the (Image/Video data) </t>
  </si>
  <si>
    <t>Application should launch and open without application crashing</t>
  </si>
  <si>
    <t>User should be able to save the  video in required storage location.</t>
  </si>
  <si>
    <t>The application should be able to save the  video in required storage location.</t>
  </si>
  <si>
    <t>The application should be able to save the recorded video in the specified storage location</t>
  </si>
  <si>
    <t>1.Harshith H K 2.Bindu K R 3.Devineni Sai Kiran    4.Hasika Chelladurah</t>
  </si>
  <si>
    <t xml:space="preserve">Application should be able to render the camera into the application </t>
  </si>
  <si>
    <t xml:space="preserve">Application will render the camera.  </t>
  </si>
  <si>
    <t>A stop button displayed on the bottom of the video that will allow the user to save the current instance of the video that will enable the user to save the video for future references of the notes.</t>
  </si>
  <si>
    <t xml:space="preserve"> Screen Recorder - for saving the notes along with the video for the future references. 
</t>
  </si>
  <si>
    <t>Screen Snapshot - for saving the screenshot (still image) of the that particualar instance as to whatsoever is displayed on the screen</t>
  </si>
  <si>
    <t xml:space="preserve">A Snapshot button that will save the the whole screen as is with annotations for future refernces. </t>
  </si>
  <si>
    <t xml:space="preserve">Application should let users to take snapshot of the livestream </t>
  </si>
  <si>
    <t xml:space="preserve"> Uninstalling the application should remove all the context and data belongs 
To the camera application except the (Image/Video data) </t>
  </si>
  <si>
    <t xml:space="preserve">    The application should be able uninstall or                                                                 reinstall whenever required by the user</t>
  </si>
  <si>
    <t>SWR_01_TC_11</t>
  </si>
  <si>
    <t>SWR_11</t>
  </si>
  <si>
    <t>Upon installtation of the application - The file storage of the application should be automatiically created in the internal storage of the android device</t>
  </si>
  <si>
    <t>After installation of the application  - Parent directory named "Camera Annotations" should be created in the internal storage of the Android Device.</t>
  </si>
  <si>
    <t>The application should have a dedicated directory for storing the applicatiuon data (Videos and image) as and when they are saved in the internal storage.</t>
  </si>
  <si>
    <t>SWR_01_TC_12</t>
  </si>
  <si>
    <t>SWR_12</t>
  </si>
  <si>
    <t xml:space="preserve">Create a sub-directory under Parent Dirctory for Screen Recording </t>
  </si>
  <si>
    <t>Create a separate Sub-Directories specifiacclay to store videos under the Parent app directory i.e, CameraAnnotations/ScreenRecordings</t>
  </si>
  <si>
    <t>Dedicated Sub-directory for screen recording for the videos seperetely and are stored inside that.</t>
  </si>
  <si>
    <t>SWR_01_TC_13</t>
  </si>
  <si>
    <t>SWR_13</t>
  </si>
  <si>
    <t xml:space="preserve">Create a sub-directory under Parent Dirctory for Screen Snapshots. </t>
  </si>
  <si>
    <t>Create a separate Sub-Directories specifiacclay to store screen Snapshots under the Parent app directory i.e, CameraAnnotations/SnapShots.</t>
  </si>
  <si>
    <t>SWR_01_TC_14</t>
  </si>
  <si>
    <t>SWR_14</t>
  </si>
  <si>
    <t xml:space="preserve">Handle Naming convenction for saving and distinguishing the videos and reducing redundancy  </t>
  </si>
  <si>
    <t>Saving the videos and snapshots in unique name each time they are saved and no redundancy with names so that the same file  isnt over writted and singleton in maintianed.</t>
  </si>
  <si>
    <t xml:space="preserve">Application should be able to save the Videos and images i.e, Screen Recordings and Snap shots in diff unique names.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</si>
</sst>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
  </numFmts>
  <fonts count="31" x14ac:knownFonts="1">
    <font>
      <sz val="10"/>
      <name val="Arial"/>
    </font>
    <font>
      <sz val="10"/>
      <name val="Arial"/>
      <family val="2"/>
    </font>
    <font>
      <sz val="10"/>
      <name val="Times New Roman"/>
      <family val="1"/>
    </font>
    <font>
      <sz val="12"/>
      <name val="Times New Roman"/>
      <family val="1"/>
    </font>
    <font>
      <b/>
      <sz val="12"/>
      <name val="Times New Roman"/>
      <family val="1"/>
    </font>
    <font>
      <b/>
      <sz val="10"/>
      <name val="Times New Roman"/>
      <family val="1"/>
    </font>
    <font>
      <b/>
      <sz val="8"/>
      <color indexed="81"/>
      <name val="Tahoma"/>
      <family val="2"/>
    </font>
    <font>
      <sz val="8"/>
      <color indexed="81"/>
      <name val="Tahoma"/>
      <family val="2"/>
    </font>
    <font>
      <b/>
      <sz val="10"/>
      <name val="Arial"/>
      <family val="2"/>
    </font>
    <font>
      <b/>
      <sz val="12"/>
      <name val="Arial"/>
      <family val="2"/>
    </font>
    <font>
      <sz val="10"/>
      <name val="Arial"/>
      <family val="2"/>
    </font>
    <font>
      <b/>
      <sz val="14"/>
      <name val="Arial"/>
      <family val="2"/>
    </font>
    <font>
      <b/>
      <sz val="9"/>
      <color indexed="81"/>
      <name val="Tahoma"/>
      <family val="2"/>
    </font>
    <font>
      <sz val="12"/>
      <name val="Arial"/>
      <family val="2"/>
    </font>
    <font>
      <sz val="9"/>
      <color indexed="81"/>
      <name val="Tahoma"/>
      <family val="2"/>
    </font>
    <font>
      <sz val="10"/>
      <name val="Tahoma"/>
      <family val="2"/>
    </font>
    <font>
      <i/>
      <sz val="10"/>
      <name val="Tahoma"/>
      <family val="2"/>
    </font>
    <font>
      <sz val="14"/>
      <color indexed="10"/>
      <name val="Arial"/>
      <family val="2"/>
    </font>
    <font>
      <sz val="14"/>
      <name val="Arial"/>
      <family val="2"/>
    </font>
    <font>
      <sz val="7"/>
      <name val="Times New Roman"/>
      <family val="1"/>
    </font>
    <font>
      <sz val="7"/>
      <name val="Arial"/>
      <family val="2"/>
    </font>
    <font>
      <sz val="10"/>
      <name val="Arial"/>
      <family val="2"/>
    </font>
    <font>
      <sz val="10"/>
      <color indexed="10"/>
      <name val="Arial"/>
      <family val="2"/>
    </font>
    <font>
      <b/>
      <u/>
      <sz val="10"/>
      <name val="Times New Roman"/>
      <family val="1"/>
    </font>
    <font>
      <u/>
      <sz val="10"/>
      <name val="Arial"/>
      <family val="2"/>
    </font>
    <font>
      <sz val="10"/>
      <color indexed="9"/>
      <name val="Arial"/>
      <family val="2"/>
    </font>
    <font>
      <sz val="10"/>
      <name val="Arial"/>
      <family val="2"/>
    </font>
    <font>
      <b/>
      <u/>
      <sz val="9"/>
      <color indexed="81"/>
      <name val="Tahoma"/>
      <family val="2"/>
    </font>
    <font>
      <sz val="11"/>
      <color theme="1"/>
      <name val="Calibri"/>
      <family val="2"/>
      <scheme val="minor"/>
    </font>
    <font>
      <sz val="11"/>
      <name val="Calibri"/>
      <family val="2"/>
    </font>
    <font>
      <sz val="10"/>
      <name val="Calibri"/>
      <family val="2"/>
    </font>
  </fonts>
  <fills count="10">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theme="0" tint="-0.14999847407452621"/>
        <bgColor indexed="64"/>
      </patternFill>
    </fill>
    <fill>
      <patternFill patternType="solid">
        <fgColor theme="0" tint="-0.14999847407452621"/>
        <bgColor indexed="55"/>
      </patternFill>
    </fill>
    <fill>
      <patternFill patternType="solid">
        <fgColor rgb="FFFFFF00"/>
        <bgColor indexed="64"/>
      </patternFill>
    </fill>
    <fill>
      <patternFill patternType="solid">
        <fgColor theme="0" tint="-0.249977111117893"/>
        <bgColor indexed="64"/>
      </patternFill>
    </fill>
    <fill>
      <patternFill patternType="solid">
        <fgColor theme="0"/>
        <bgColor indexed="64"/>
      </patternFill>
    </fill>
    <fill>
      <patternFill patternType="solid">
        <fgColor rgb="FF92D050"/>
        <bgColor indexed="64"/>
      </patternFill>
    </fill>
  </fills>
  <borders count="66">
    <border>
      <left/>
      <right/>
      <top/>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right style="medium">
        <color indexed="64"/>
      </right>
      <top style="thin">
        <color indexed="8"/>
      </top>
      <bottom/>
      <diagonal/>
    </border>
    <border>
      <left/>
      <right style="medium">
        <color indexed="64"/>
      </right>
      <top style="thin">
        <color indexed="64"/>
      </top>
      <bottom style="thin">
        <color indexed="64"/>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bottom style="thin">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right style="medium">
        <color indexed="64"/>
      </right>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right/>
      <top style="thin">
        <color indexed="64"/>
      </top>
      <bottom/>
      <diagonal/>
    </border>
    <border>
      <left/>
      <right style="medium">
        <color indexed="64"/>
      </right>
      <top style="thin">
        <color indexed="64"/>
      </top>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s>
  <cellStyleXfs count="2">
    <xf numFmtId="0" fontId="0" fillId="0" borderId="0"/>
    <xf numFmtId="0" fontId="1" fillId="0" borderId="0"/>
  </cellStyleXfs>
  <cellXfs count="404">
    <xf numFmtId="0" fontId="0" fillId="0" borderId="0" xfId="0"/>
    <xf numFmtId="2" fontId="2" fillId="0" borderId="0" xfId="0" applyNumberFormat="1" applyFont="1" applyBorder="1" applyAlignment="1">
      <alignment horizontal="center" vertical="top" wrapText="1"/>
    </xf>
    <xf numFmtId="0" fontId="5" fillId="0" borderId="0" xfId="0" applyFont="1" applyAlignment="1">
      <alignment horizontal="center" vertical="top" wrapText="1"/>
    </xf>
    <xf numFmtId="0" fontId="2" fillId="0" borderId="0" xfId="0" applyFont="1" applyBorder="1" applyAlignment="1">
      <alignment horizontal="center" vertical="top" wrapText="1"/>
    </xf>
    <xf numFmtId="2" fontId="2" fillId="0" borderId="1" xfId="0" applyNumberFormat="1" applyFont="1" applyBorder="1" applyAlignment="1">
      <alignment horizontal="center" vertical="top" wrapText="1"/>
    </xf>
    <xf numFmtId="2" fontId="2" fillId="0" borderId="2" xfId="0" applyNumberFormat="1" applyFont="1" applyBorder="1" applyAlignment="1">
      <alignment horizontal="center" vertical="top" wrapText="1"/>
    </xf>
    <xf numFmtId="0" fontId="0" fillId="2" borderId="0" xfId="0" applyFill="1" applyAlignment="1">
      <alignment vertical="center" wrapText="1"/>
    </xf>
    <xf numFmtId="0" fontId="0" fillId="0" borderId="0" xfId="0" applyAlignment="1">
      <alignment vertical="center" wrapText="1"/>
    </xf>
    <xf numFmtId="0" fontId="13" fillId="0" borderId="3" xfId="0" applyFont="1" applyBorder="1" applyAlignment="1">
      <alignment horizontal="center" vertical="center" wrapText="1"/>
    </xf>
    <xf numFmtId="0" fontId="13" fillId="0" borderId="4" xfId="0" applyFont="1" applyBorder="1" applyAlignment="1">
      <alignment horizontal="center" vertical="center" wrapText="1"/>
    </xf>
    <xf numFmtId="0" fontId="10" fillId="0" borderId="3" xfId="0" applyFont="1" applyBorder="1" applyAlignment="1">
      <alignment horizontal="center" vertical="center" wrapText="1"/>
    </xf>
    <xf numFmtId="0" fontId="10" fillId="0" borderId="3" xfId="0" applyFont="1" applyBorder="1" applyAlignment="1">
      <alignment horizontal="left" vertical="center" wrapText="1"/>
    </xf>
    <xf numFmtId="0" fontId="10" fillId="0" borderId="3" xfId="0" applyFont="1" applyBorder="1" applyAlignment="1">
      <alignment vertical="center" wrapText="1"/>
    </xf>
    <xf numFmtId="0" fontId="10" fillId="2" borderId="0" xfId="0" applyFont="1" applyFill="1" applyAlignment="1">
      <alignment vertical="center" wrapText="1"/>
    </xf>
    <xf numFmtId="0" fontId="10" fillId="0" borderId="0" xfId="0" applyFont="1" applyAlignment="1">
      <alignment vertical="center" wrapText="1"/>
    </xf>
    <xf numFmtId="0" fontId="22" fillId="0" borderId="5"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0" xfId="0" applyFont="1" applyBorder="1" applyAlignment="1">
      <alignment horizontal="center" vertical="center" wrapText="1"/>
    </xf>
    <xf numFmtId="0" fontId="10" fillId="0" borderId="7" xfId="0" applyFont="1" applyBorder="1" applyAlignment="1">
      <alignment horizontal="center" vertical="center" wrapText="1"/>
    </xf>
    <xf numFmtId="0" fontId="13" fillId="0" borderId="8" xfId="0" applyFont="1" applyBorder="1" applyAlignment="1">
      <alignment horizontal="center" vertical="center" wrapText="1"/>
    </xf>
    <xf numFmtId="0" fontId="2" fillId="0" borderId="0" xfId="0" applyFont="1" applyAlignment="1" applyProtection="1">
      <alignment horizontal="left" vertical="top" wrapText="1"/>
      <protection locked="0"/>
    </xf>
    <xf numFmtId="0" fontId="0" fillId="0" borderId="0" xfId="0" applyBorder="1" applyAlignment="1">
      <alignment wrapText="1"/>
    </xf>
    <xf numFmtId="0" fontId="26" fillId="0" borderId="0" xfId="0" applyFont="1" applyFill="1" applyBorder="1" applyAlignment="1">
      <alignment horizontal="center" vertical="center" wrapText="1"/>
    </xf>
    <xf numFmtId="0" fontId="5" fillId="4" borderId="9" xfId="0" applyFont="1" applyFill="1" applyBorder="1" applyAlignment="1" applyProtection="1">
      <alignment horizontal="center" vertical="center" wrapText="1"/>
      <protection locked="0"/>
    </xf>
    <xf numFmtId="0" fontId="5" fillId="4" borderId="10" xfId="0" applyFont="1" applyFill="1" applyBorder="1" applyAlignment="1" applyProtection="1">
      <alignment horizontal="center" vertical="center" wrapText="1"/>
      <protection locked="0"/>
    </xf>
    <xf numFmtId="0" fontId="10" fillId="5" borderId="5" xfId="0" applyFont="1" applyFill="1" applyBorder="1" applyAlignment="1">
      <alignment horizontal="center" vertical="center" wrapText="1"/>
    </xf>
    <xf numFmtId="0" fontId="10" fillId="5" borderId="11" xfId="0" applyFont="1" applyFill="1" applyBorder="1" applyAlignment="1">
      <alignment horizontal="center" vertical="center" wrapText="1"/>
    </xf>
    <xf numFmtId="0" fontId="13" fillId="4" borderId="3" xfId="0" applyFont="1" applyFill="1" applyBorder="1" applyAlignment="1">
      <alignment horizontal="center" vertical="center" wrapText="1"/>
    </xf>
    <xf numFmtId="0" fontId="10" fillId="4" borderId="12" xfId="0" applyFont="1" applyFill="1" applyBorder="1" applyAlignment="1">
      <alignment vertical="center" wrapText="1"/>
    </xf>
    <xf numFmtId="0" fontId="10" fillId="4" borderId="13" xfId="0" applyFont="1" applyFill="1" applyBorder="1" applyAlignment="1">
      <alignment horizontal="center" vertical="center" wrapText="1"/>
    </xf>
    <xf numFmtId="0" fontId="10" fillId="4" borderId="3" xfId="0" applyFont="1" applyFill="1" applyBorder="1" applyAlignment="1">
      <alignment vertical="center" wrapText="1"/>
    </xf>
    <xf numFmtId="0" fontId="10" fillId="4" borderId="0" xfId="0" applyFont="1" applyFill="1" applyAlignment="1">
      <alignment vertical="center" wrapText="1"/>
    </xf>
    <xf numFmtId="0" fontId="15" fillId="0" borderId="4" xfId="0" applyFont="1" applyBorder="1" applyAlignment="1" applyProtection="1">
      <alignment horizontal="left" vertical="center" wrapText="1"/>
      <protection locked="0"/>
    </xf>
    <xf numFmtId="0" fontId="0" fillId="2" borderId="0" xfId="0" applyFill="1" applyProtection="1">
      <protection locked="0"/>
    </xf>
    <xf numFmtId="0" fontId="0" fillId="0" borderId="0" xfId="0" applyProtection="1">
      <protection locked="0"/>
    </xf>
    <xf numFmtId="0" fontId="10" fillId="2" borderId="0" xfId="0" applyFont="1" applyFill="1" applyProtection="1">
      <protection locked="0"/>
    </xf>
    <xf numFmtId="0" fontId="10" fillId="0" borderId="0" xfId="0" applyFont="1" applyProtection="1">
      <protection locked="0"/>
    </xf>
    <xf numFmtId="0" fontId="10" fillId="0" borderId="3" xfId="0" applyFont="1" applyBorder="1" applyAlignment="1" applyProtection="1">
      <alignment wrapText="1"/>
      <protection locked="0"/>
    </xf>
    <xf numFmtId="0" fontId="10" fillId="7" borderId="14" xfId="0" applyFont="1" applyFill="1" applyBorder="1" applyAlignment="1" applyProtection="1">
      <alignment horizontal="center"/>
    </xf>
    <xf numFmtId="0" fontId="10" fillId="7" borderId="15" xfId="0" applyFont="1" applyFill="1" applyBorder="1" applyAlignment="1" applyProtection="1">
      <alignment horizontal="center"/>
    </xf>
    <xf numFmtId="0" fontId="13" fillId="4" borderId="16" xfId="0" applyFont="1" applyFill="1" applyBorder="1" applyAlignment="1" applyProtection="1">
      <alignment horizontal="center" vertical="top" wrapText="1"/>
      <protection locked="0"/>
    </xf>
    <xf numFmtId="0" fontId="10" fillId="0" borderId="17" xfId="0" applyFont="1" applyBorder="1" applyAlignment="1" applyProtection="1">
      <alignment horizontal="left" vertical="center" wrapText="1"/>
      <protection locked="0"/>
    </xf>
    <xf numFmtId="0" fontId="10" fillId="0" borderId="17" xfId="0" applyFont="1" applyBorder="1" applyAlignment="1" applyProtection="1">
      <alignment horizontal="left" vertical="top" wrapText="1"/>
      <protection locked="0"/>
    </xf>
    <xf numFmtId="0" fontId="10" fillId="0" borderId="17" xfId="0" applyFont="1" applyBorder="1" applyAlignment="1" applyProtection="1">
      <alignment vertical="top" wrapText="1"/>
      <protection locked="0"/>
    </xf>
    <xf numFmtId="0" fontId="10" fillId="0" borderId="3" xfId="0" applyFont="1" applyFill="1" applyBorder="1" applyAlignment="1" applyProtection="1">
      <alignment wrapText="1"/>
      <protection locked="0"/>
    </xf>
    <xf numFmtId="0" fontId="10" fillId="0" borderId="18" xfId="0" applyFont="1" applyBorder="1" applyAlignment="1" applyProtection="1">
      <alignment vertical="top" wrapText="1"/>
      <protection locked="0"/>
    </xf>
    <xf numFmtId="0" fontId="13" fillId="4" borderId="10" xfId="0" applyFont="1" applyFill="1" applyBorder="1" applyAlignment="1" applyProtection="1">
      <alignment horizontal="center" vertical="center" wrapText="1"/>
      <protection locked="0"/>
    </xf>
    <xf numFmtId="0" fontId="13" fillId="4" borderId="19" xfId="0" applyFont="1" applyFill="1" applyBorder="1" applyAlignment="1" applyProtection="1">
      <alignment horizontal="center" vertical="center" wrapText="1"/>
      <protection locked="0"/>
    </xf>
    <xf numFmtId="0" fontId="21" fillId="4" borderId="3" xfId="0" applyFont="1" applyFill="1" applyBorder="1" applyAlignment="1" applyProtection="1">
      <alignment horizontal="center" vertical="center" wrapText="1"/>
      <protection locked="0"/>
    </xf>
    <xf numFmtId="0" fontId="21" fillId="0" borderId="4" xfId="0" applyFont="1" applyBorder="1" applyAlignment="1" applyProtection="1">
      <alignment horizontal="left" vertical="center" wrapText="1"/>
      <protection locked="0"/>
    </xf>
    <xf numFmtId="0" fontId="10" fillId="0" borderId="4" xfId="0" applyFont="1" applyBorder="1" applyAlignment="1" applyProtection="1">
      <alignment horizontal="left" vertical="center" wrapText="1"/>
      <protection locked="0"/>
    </xf>
    <xf numFmtId="0" fontId="13" fillId="4" borderId="4" xfId="0" applyFont="1" applyFill="1" applyBorder="1" applyAlignment="1" applyProtection="1">
      <alignment horizontal="center" vertical="center" wrapText="1"/>
      <protection locked="0"/>
    </xf>
    <xf numFmtId="0" fontId="15" fillId="4" borderId="3" xfId="0" applyFont="1" applyFill="1" applyBorder="1" applyAlignment="1" applyProtection="1">
      <alignment horizontal="center" vertical="center" wrapText="1"/>
      <protection locked="0"/>
    </xf>
    <xf numFmtId="0" fontId="21" fillId="4" borderId="3" xfId="0" applyFont="1" applyFill="1" applyBorder="1" applyAlignment="1" applyProtection="1">
      <alignment horizontal="left" vertical="center" wrapText="1"/>
      <protection locked="0"/>
    </xf>
    <xf numFmtId="0" fontId="26" fillId="0" borderId="0" xfId="0" applyFont="1" applyAlignment="1" applyProtection="1">
      <alignment horizontal="center" vertical="center" wrapText="1"/>
      <protection locked="0"/>
    </xf>
    <xf numFmtId="0" fontId="13" fillId="4" borderId="20" xfId="0" applyFont="1" applyFill="1" applyBorder="1" applyAlignment="1" applyProtection="1">
      <alignment horizontal="center" vertical="top" wrapText="1"/>
      <protection locked="0"/>
    </xf>
    <xf numFmtId="0" fontId="13" fillId="4" borderId="4" xfId="0" applyFont="1" applyFill="1" applyBorder="1" applyAlignment="1" applyProtection="1">
      <alignment horizontal="center" vertical="top" wrapText="1"/>
      <protection locked="0"/>
    </xf>
    <xf numFmtId="0" fontId="10" fillId="4" borderId="20" xfId="0" applyFont="1" applyFill="1" applyBorder="1" applyAlignment="1" applyProtection="1">
      <alignment horizontal="center" vertical="center" wrapText="1"/>
      <protection locked="0"/>
    </xf>
    <xf numFmtId="0" fontId="10" fillId="4" borderId="3" xfId="0" applyFont="1" applyFill="1" applyBorder="1" applyAlignment="1" applyProtection="1">
      <alignment horizontal="left" vertical="top" wrapText="1"/>
      <protection locked="0"/>
    </xf>
    <xf numFmtId="0" fontId="10" fillId="0" borderId="4" xfId="0" applyFont="1" applyBorder="1" applyAlignment="1" applyProtection="1">
      <alignment horizontal="left" vertical="top" wrapText="1"/>
      <protection locked="0"/>
    </xf>
    <xf numFmtId="0" fontId="10" fillId="0" borderId="4" xfId="0" applyFont="1" applyBorder="1" applyAlignment="1" applyProtection="1">
      <alignment vertical="top" wrapText="1"/>
      <protection locked="0"/>
    </xf>
    <xf numFmtId="0" fontId="10" fillId="0" borderId="4" xfId="0" applyFont="1" applyFill="1" applyBorder="1" applyAlignment="1" applyProtection="1">
      <alignment horizontal="left" vertical="top" wrapText="1"/>
      <protection locked="0"/>
    </xf>
    <xf numFmtId="0" fontId="10" fillId="0" borderId="4" xfId="0" applyFont="1" applyFill="1" applyBorder="1" applyAlignment="1" applyProtection="1">
      <alignment vertical="top" wrapText="1"/>
      <protection locked="0"/>
    </xf>
    <xf numFmtId="0" fontId="0" fillId="0" borderId="4" xfId="0" applyBorder="1" applyAlignment="1" applyProtection="1">
      <alignment wrapText="1"/>
      <protection locked="0"/>
    </xf>
    <xf numFmtId="0" fontId="0" fillId="4" borderId="3" xfId="0" applyFill="1" applyBorder="1" applyAlignment="1" applyProtection="1">
      <alignment wrapText="1"/>
      <protection locked="0"/>
    </xf>
    <xf numFmtId="0" fontId="10" fillId="4" borderId="3" xfId="0" applyFont="1" applyFill="1" applyBorder="1" applyAlignment="1" applyProtection="1">
      <alignment wrapText="1"/>
      <protection locked="0"/>
    </xf>
    <xf numFmtId="0" fontId="0" fillId="2" borderId="0" xfId="0" applyFill="1" applyBorder="1" applyProtection="1">
      <protection locked="0"/>
    </xf>
    <xf numFmtId="0" fontId="0" fillId="2" borderId="0" xfId="0" applyFill="1" applyBorder="1" applyAlignment="1" applyProtection="1">
      <alignment wrapText="1"/>
      <protection locked="0"/>
    </xf>
    <xf numFmtId="0" fontId="0" fillId="2" borderId="0" xfId="0" applyFill="1" applyAlignment="1" applyProtection="1">
      <alignment wrapText="1"/>
      <protection locked="0"/>
    </xf>
    <xf numFmtId="0" fontId="0" fillId="0" borderId="0" xfId="0" applyAlignment="1" applyProtection="1">
      <alignment wrapText="1"/>
      <protection locked="0"/>
    </xf>
    <xf numFmtId="0" fontId="8" fillId="7" borderId="21" xfId="0" applyFont="1" applyFill="1" applyBorder="1" applyAlignment="1" applyProtection="1">
      <alignment horizontal="center"/>
    </xf>
    <xf numFmtId="0" fontId="10" fillId="7" borderId="13" xfId="0" applyFont="1" applyFill="1" applyBorder="1" applyAlignment="1" applyProtection="1">
      <alignment horizontal="center"/>
    </xf>
    <xf numFmtId="0" fontId="0" fillId="7" borderId="0" xfId="0" applyFill="1" applyProtection="1">
      <protection locked="0"/>
    </xf>
    <xf numFmtId="0" fontId="0" fillId="0" borderId="8" xfId="0" applyFill="1" applyBorder="1" applyAlignment="1" applyProtection="1">
      <alignment horizontal="center"/>
      <protection locked="0"/>
    </xf>
    <xf numFmtId="0" fontId="0" fillId="0" borderId="4" xfId="0" applyFill="1" applyBorder="1" applyProtection="1">
      <protection locked="0"/>
    </xf>
    <xf numFmtId="164" fontId="0" fillId="0" borderId="20" xfId="0" applyNumberFormat="1" applyFill="1" applyBorder="1" applyProtection="1">
      <protection locked="0"/>
    </xf>
    <xf numFmtId="164" fontId="0" fillId="0" borderId="22" xfId="0" applyNumberFormat="1" applyFill="1" applyBorder="1" applyProtection="1">
      <protection locked="0"/>
    </xf>
    <xf numFmtId="0" fontId="0" fillId="0" borderId="3" xfId="0" applyFill="1" applyBorder="1" applyAlignment="1" applyProtection="1">
      <protection locked="0"/>
    </xf>
    <xf numFmtId="0" fontId="0" fillId="0" borderId="7" xfId="0" applyFill="1" applyBorder="1" applyAlignment="1" applyProtection="1">
      <protection locked="0"/>
    </xf>
    <xf numFmtId="0" fontId="0" fillId="0" borderId="23" xfId="0" applyFill="1" applyBorder="1" applyProtection="1">
      <protection locked="0"/>
    </xf>
    <xf numFmtId="0" fontId="10" fillId="7" borderId="24" xfId="0" applyFont="1" applyFill="1" applyBorder="1" applyAlignment="1" applyProtection="1"/>
    <xf numFmtId="0" fontId="0" fillId="0" borderId="17" xfId="0" applyFill="1" applyBorder="1" applyProtection="1">
      <protection locked="0"/>
    </xf>
    <xf numFmtId="0" fontId="10" fillId="7" borderId="9" xfId="0" applyFont="1" applyFill="1" applyBorder="1" applyAlignment="1" applyProtection="1"/>
    <xf numFmtId="0" fontId="10" fillId="7" borderId="10" xfId="0" applyFont="1" applyFill="1" applyBorder="1" applyAlignment="1" applyProtection="1"/>
    <xf numFmtId="0" fontId="10" fillId="4" borderId="3" xfId="0" applyFont="1" applyFill="1" applyBorder="1" applyAlignment="1" applyProtection="1">
      <alignment horizontal="center" vertical="center" wrapText="1"/>
      <protection locked="0"/>
    </xf>
    <xf numFmtId="0" fontId="13" fillId="4" borderId="3" xfId="0" applyFont="1" applyFill="1" applyBorder="1" applyAlignment="1" applyProtection="1">
      <alignment horizontal="center" vertical="center" wrapText="1"/>
      <protection locked="0"/>
    </xf>
    <xf numFmtId="0" fontId="10" fillId="4" borderId="3" xfId="0" applyFont="1" applyFill="1" applyBorder="1" applyAlignment="1" applyProtection="1">
      <alignment horizontal="left" vertical="center" wrapText="1"/>
      <protection locked="0"/>
    </xf>
    <xf numFmtId="0" fontId="10" fillId="4" borderId="3" xfId="0" applyFont="1" applyFill="1" applyBorder="1" applyAlignment="1" applyProtection="1">
      <alignment horizontal="left" vertical="center" wrapText="1"/>
      <protection locked="0"/>
    </xf>
    <xf numFmtId="0" fontId="13" fillId="4" borderId="3" xfId="0" applyFont="1" applyFill="1" applyBorder="1" applyAlignment="1" applyProtection="1">
      <alignment horizontal="center" vertical="top" wrapText="1"/>
      <protection locked="0"/>
    </xf>
    <xf numFmtId="0" fontId="8" fillId="4" borderId="20" xfId="0" applyFont="1" applyFill="1" applyBorder="1" applyAlignment="1" applyProtection="1">
      <alignment horizontal="center" vertical="center" wrapText="1"/>
      <protection locked="0"/>
    </xf>
    <xf numFmtId="0" fontId="10" fillId="4" borderId="3" xfId="0" applyFont="1" applyFill="1" applyBorder="1" applyAlignment="1" applyProtection="1">
      <alignment horizontal="left" vertical="center" wrapText="1"/>
      <protection locked="0"/>
    </xf>
    <xf numFmtId="0" fontId="10" fillId="0" borderId="25" xfId="0" applyFont="1" applyBorder="1" applyAlignment="1" applyProtection="1">
      <alignment vertical="top" wrapText="1"/>
      <protection locked="0"/>
    </xf>
    <xf numFmtId="0" fontId="8" fillId="4" borderId="13" xfId="0" applyFont="1" applyFill="1" applyBorder="1" applyAlignment="1">
      <alignment horizontal="center" vertical="center" wrapText="1"/>
    </xf>
    <xf numFmtId="0" fontId="8" fillId="4" borderId="3" xfId="0" applyFont="1" applyFill="1" applyBorder="1" applyAlignment="1">
      <alignment horizontal="center" vertical="center" wrapText="1"/>
    </xf>
    <xf numFmtId="0" fontId="8" fillId="0" borderId="0" xfId="0" applyFont="1" applyFill="1" applyBorder="1" applyAlignment="1">
      <alignment horizontal="center" vertical="center" wrapText="1"/>
    </xf>
    <xf numFmtId="0" fontId="8" fillId="5" borderId="3" xfId="0" applyFont="1" applyFill="1" applyBorder="1" applyAlignment="1">
      <alignment horizontal="center" vertical="center" wrapText="1"/>
    </xf>
    <xf numFmtId="164" fontId="10" fillId="0" borderId="20" xfId="0" applyNumberFormat="1" applyFont="1" applyFill="1" applyBorder="1" applyAlignment="1" applyProtection="1">
      <alignment horizontal="center" vertical="center"/>
      <protection locked="0"/>
    </xf>
    <xf numFmtId="164" fontId="0" fillId="0" borderId="20" xfId="0" applyNumberFormat="1" applyFill="1" applyBorder="1" applyAlignment="1" applyProtection="1">
      <alignment horizontal="center" vertical="center"/>
      <protection locked="0"/>
    </xf>
    <xf numFmtId="0" fontId="0" fillId="0" borderId="0" xfId="0" applyBorder="1" applyAlignment="1" applyProtection="1">
      <alignment wrapText="1"/>
      <protection locked="0"/>
    </xf>
    <xf numFmtId="0" fontId="25" fillId="0" borderId="0" xfId="0" applyFont="1" applyFill="1" applyBorder="1" applyAlignment="1" applyProtection="1">
      <alignment horizontal="center" vertical="center" wrapText="1"/>
      <protection locked="0"/>
    </xf>
    <xf numFmtId="0" fontId="26" fillId="0" borderId="0" xfId="0" applyFont="1" applyBorder="1" applyAlignment="1">
      <alignment wrapText="1"/>
    </xf>
    <xf numFmtId="0" fontId="10" fillId="0" borderId="0" xfId="0" applyFont="1" applyBorder="1" applyAlignment="1" applyProtection="1">
      <alignment wrapText="1"/>
      <protection locked="0"/>
    </xf>
    <xf numFmtId="0" fontId="10" fillId="0" borderId="0" xfId="0" applyFont="1" applyFill="1" applyBorder="1" applyAlignment="1">
      <alignment wrapText="1"/>
    </xf>
    <xf numFmtId="0" fontId="2" fillId="0" borderId="26" xfId="0" applyFont="1" applyBorder="1" applyAlignment="1">
      <alignment horizontal="center" vertical="top" wrapText="1"/>
    </xf>
    <xf numFmtId="0" fontId="2" fillId="0" borderId="0" xfId="0" applyFont="1" applyAlignment="1">
      <alignment horizontal="center" vertical="top" wrapText="1"/>
    </xf>
    <xf numFmtId="0" fontId="0" fillId="0" borderId="0" xfId="0" applyAlignment="1">
      <alignment horizontal="center"/>
    </xf>
    <xf numFmtId="0" fontId="2" fillId="0" borderId="35" xfId="0" applyFont="1" applyBorder="1" applyAlignment="1">
      <alignment horizontal="center" vertical="top" wrapText="1"/>
    </xf>
    <xf numFmtId="0" fontId="2" fillId="0" borderId="36" xfId="0" applyFont="1" applyBorder="1" applyAlignment="1">
      <alignment horizontal="center" vertical="top" wrapText="1"/>
    </xf>
    <xf numFmtId="0" fontId="2" fillId="0" borderId="37" xfId="0" applyFont="1" applyBorder="1" applyAlignment="1">
      <alignment horizontal="center" vertical="top" wrapText="1"/>
    </xf>
    <xf numFmtId="0" fontId="0" fillId="0" borderId="0" xfId="0" applyBorder="1" applyAlignment="1">
      <alignment horizontal="center"/>
    </xf>
    <xf numFmtId="0" fontId="2" fillId="0" borderId="1" xfId="0" applyFont="1" applyBorder="1" applyAlignment="1" applyProtection="1">
      <alignment horizontal="center" vertical="top" wrapText="1"/>
      <protection locked="0"/>
    </xf>
    <xf numFmtId="165" fontId="2" fillId="0" borderId="2" xfId="0" applyNumberFormat="1" applyFont="1" applyBorder="1" applyAlignment="1">
      <alignment horizontal="center" vertical="top" wrapText="1"/>
    </xf>
    <xf numFmtId="0" fontId="3" fillId="0" borderId="1" xfId="0" applyFont="1" applyBorder="1" applyAlignment="1">
      <alignment horizontal="center" vertical="top" wrapText="1"/>
    </xf>
    <xf numFmtId="14" fontId="3" fillId="0" borderId="2" xfId="0" applyNumberFormat="1" applyFont="1" applyBorder="1" applyAlignment="1">
      <alignment horizontal="center" vertical="top" wrapText="1"/>
    </xf>
    <xf numFmtId="0" fontId="2" fillId="0" borderId="1" xfId="0" applyFont="1" applyBorder="1" applyAlignment="1">
      <alignment horizontal="center" vertical="top" wrapText="1"/>
    </xf>
    <xf numFmtId="0" fontId="2" fillId="0" borderId="2" xfId="0" applyFont="1" applyBorder="1" applyAlignment="1">
      <alignment horizontal="center" vertical="top" wrapText="1"/>
    </xf>
    <xf numFmtId="2" fontId="19" fillId="0" borderId="0" xfId="0" applyNumberFormat="1"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2" xfId="0" applyFont="1" applyBorder="1" applyAlignment="1">
      <alignment horizontal="center" vertical="top" wrapText="1"/>
    </xf>
    <xf numFmtId="0" fontId="1" fillId="0" borderId="0" xfId="0" applyFont="1" applyAlignment="1">
      <alignment horizontal="center"/>
    </xf>
    <xf numFmtId="0" fontId="2" fillId="0" borderId="3" xfId="0" applyFont="1" applyBorder="1" applyAlignment="1">
      <alignment horizontal="center" vertical="center" wrapText="1"/>
    </xf>
    <xf numFmtId="0" fontId="2" fillId="0" borderId="0" xfId="0" applyFont="1" applyAlignment="1">
      <alignment horizontal="center" vertical="center" wrapText="1"/>
    </xf>
    <xf numFmtId="0" fontId="0" fillId="0" borderId="0" xfId="0" applyAlignment="1">
      <alignment horizontal="center" vertical="center"/>
    </xf>
    <xf numFmtId="165" fontId="2" fillId="0" borderId="3" xfId="0" applyNumberFormat="1" applyFont="1" applyBorder="1" applyAlignment="1">
      <alignment horizontal="center" vertical="center" wrapText="1"/>
    </xf>
    <xf numFmtId="0" fontId="2" fillId="0" borderId="1" xfId="0" applyFont="1" applyBorder="1" applyAlignment="1">
      <alignment horizontal="center" vertical="center" wrapText="1"/>
    </xf>
    <xf numFmtId="165" fontId="2" fillId="0" borderId="0" xfId="0" applyNumberFormat="1" applyFont="1" applyBorder="1" applyAlignment="1">
      <alignment horizontal="center" vertical="center" wrapText="1"/>
    </xf>
    <xf numFmtId="0" fontId="2" fillId="0" borderId="0" xfId="0" applyFont="1" applyBorder="1" applyAlignment="1">
      <alignment horizontal="center" vertical="center" wrapText="1"/>
    </xf>
    <xf numFmtId="0" fontId="2" fillId="0" borderId="2" xfId="0" applyFont="1" applyBorder="1" applyAlignment="1">
      <alignment horizontal="center" vertical="center" wrapText="1"/>
    </xf>
    <xf numFmtId="165" fontId="2" fillId="0" borderId="64" xfId="0" applyNumberFormat="1" applyFont="1" applyBorder="1" applyAlignment="1">
      <alignment horizontal="center" vertical="center" wrapText="1"/>
    </xf>
    <xf numFmtId="0" fontId="28" fillId="0" borderId="3" xfId="0" applyFont="1" applyBorder="1" applyAlignment="1">
      <alignment horizontal="left" wrapText="1"/>
    </xf>
    <xf numFmtId="14" fontId="28" fillId="0" borderId="3" xfId="0" applyNumberFormat="1" applyFont="1" applyBorder="1" applyAlignment="1">
      <alignment horizontal="left" wrapText="1"/>
    </xf>
    <xf numFmtId="0" fontId="28" fillId="0" borderId="8" xfId="0" applyFont="1" applyBorder="1" applyAlignment="1">
      <alignment horizontal="left" wrapText="1"/>
    </xf>
    <xf numFmtId="0" fontId="10" fillId="0" borderId="0" xfId="0" applyFont="1" applyBorder="1" applyAlignment="1">
      <alignment horizontal="left" wrapText="1"/>
    </xf>
    <xf numFmtId="0" fontId="15" fillId="3" borderId="20" xfId="0" applyFont="1" applyFill="1" applyBorder="1" applyAlignment="1" applyProtection="1">
      <alignment horizontal="left" vertical="center" wrapText="1" shrinkToFit="1"/>
      <protection locked="0"/>
    </xf>
    <xf numFmtId="0" fontId="15" fillId="3" borderId="3" xfId="0" applyFont="1" applyFill="1" applyBorder="1" applyAlignment="1" applyProtection="1">
      <alignment horizontal="left" vertical="center" wrapText="1" shrinkToFit="1"/>
      <protection locked="0"/>
    </xf>
    <xf numFmtId="0" fontId="15" fillId="3" borderId="4" xfId="0" applyFont="1" applyFill="1" applyBorder="1" applyAlignment="1" applyProtection="1">
      <alignment horizontal="left" vertical="center" wrapText="1" shrinkToFit="1"/>
      <protection locked="0"/>
    </xf>
    <xf numFmtId="0" fontId="26" fillId="0" borderId="0" xfId="0" applyFont="1" applyBorder="1" applyAlignment="1">
      <alignment horizontal="left" wrapText="1"/>
    </xf>
    <xf numFmtId="0" fontId="1" fillId="0" borderId="21" xfId="0" applyFont="1" applyFill="1" applyBorder="1" applyAlignment="1" applyProtection="1">
      <alignment horizontal="center"/>
      <protection locked="0"/>
    </xf>
    <xf numFmtId="0" fontId="1" fillId="0" borderId="13" xfId="0" applyFont="1" applyBorder="1" applyAlignment="1" applyProtection="1">
      <alignment horizontal="center" vertical="center" wrapText="1"/>
      <protection locked="0"/>
    </xf>
    <xf numFmtId="165" fontId="10" fillId="0" borderId="7" xfId="0" applyNumberFormat="1" applyFont="1" applyBorder="1" applyAlignment="1" applyProtection="1">
      <alignment horizontal="center" vertical="center" wrapText="1"/>
      <protection locked="0"/>
    </xf>
    <xf numFmtId="0" fontId="10" fillId="4" borderId="3" xfId="0" applyFont="1" applyFill="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165" fontId="10" fillId="0" borderId="3" xfId="0" applyNumberFormat="1" applyFont="1" applyBorder="1" applyAlignment="1" applyProtection="1">
      <alignment horizontal="center" vertical="center" wrapText="1"/>
      <protection locked="0"/>
    </xf>
    <xf numFmtId="0" fontId="10" fillId="0" borderId="3" xfId="0" applyFont="1" applyBorder="1" applyAlignment="1" applyProtection="1">
      <alignment horizontal="center" vertical="center" wrapText="1"/>
      <protection locked="0"/>
    </xf>
    <xf numFmtId="0" fontId="1" fillId="0" borderId="3" xfId="0" applyFont="1" applyBorder="1" applyAlignment="1" applyProtection="1">
      <alignment horizontal="center" vertical="center" wrapText="1"/>
      <protection locked="0"/>
    </xf>
    <xf numFmtId="0" fontId="10" fillId="0" borderId="48" xfId="0" applyFont="1" applyBorder="1" applyAlignment="1" applyProtection="1">
      <alignment horizontal="center" vertical="center" wrapText="1"/>
      <protection locked="0"/>
    </xf>
    <xf numFmtId="0" fontId="10" fillId="0" borderId="13" xfId="0" applyFont="1" applyBorder="1" applyAlignment="1" applyProtection="1">
      <alignment horizontal="center" vertical="center" wrapText="1"/>
      <protection locked="0"/>
    </xf>
    <xf numFmtId="0" fontId="1" fillId="0" borderId="7" xfId="0" applyFont="1" applyBorder="1" applyAlignment="1" applyProtection="1">
      <alignment horizontal="center" vertical="center" wrapText="1"/>
      <protection locked="0"/>
    </xf>
    <xf numFmtId="0" fontId="1" fillId="0" borderId="48" xfId="0" applyFont="1" applyBorder="1" applyAlignment="1" applyProtection="1">
      <alignment horizontal="center" vertical="center" wrapText="1"/>
      <protection locked="0"/>
    </xf>
    <xf numFmtId="0" fontId="1" fillId="0" borderId="7" xfId="0" applyFont="1" applyFill="1" applyBorder="1" applyAlignment="1" applyProtection="1">
      <alignment horizontal="center" vertical="center" wrapText="1"/>
      <protection locked="0"/>
    </xf>
    <xf numFmtId="0" fontId="1" fillId="0" borderId="3" xfId="0" applyFont="1" applyFill="1" applyBorder="1" applyAlignment="1" applyProtection="1">
      <alignment horizontal="center" vertical="center" wrapText="1"/>
      <protection locked="0"/>
    </xf>
    <xf numFmtId="0" fontId="8" fillId="0" borderId="7" xfId="0" applyFont="1" applyBorder="1" applyAlignment="1" applyProtection="1">
      <alignment horizontal="center" vertical="center" wrapText="1"/>
      <protection locked="0"/>
    </xf>
    <xf numFmtId="0" fontId="10" fillId="4" borderId="8" xfId="0" applyFont="1" applyFill="1" applyBorder="1" applyAlignment="1" applyProtection="1">
      <alignment horizontal="center" vertical="center" wrapText="1"/>
      <protection locked="0"/>
    </xf>
    <xf numFmtId="0" fontId="1" fillId="0" borderId="3" xfId="0" applyFont="1" applyFill="1" applyBorder="1" applyAlignment="1" applyProtection="1">
      <protection locked="0"/>
    </xf>
    <xf numFmtId="165" fontId="1" fillId="0" borderId="3" xfId="0" applyNumberFormat="1" applyFont="1" applyBorder="1" applyAlignment="1" applyProtection="1">
      <alignment horizontal="center" vertical="center" wrapText="1"/>
      <protection locked="0"/>
    </xf>
    <xf numFmtId="0" fontId="10" fillId="4" borderId="7" xfId="0" applyFont="1" applyFill="1" applyBorder="1" applyAlignment="1" applyProtection="1">
      <alignment horizontal="center" vertical="center" wrapText="1"/>
      <protection locked="0"/>
    </xf>
    <xf numFmtId="2" fontId="1" fillId="2" borderId="33" xfId="0" applyNumberFormat="1" applyFont="1" applyFill="1" applyBorder="1" applyAlignment="1" applyProtection="1">
      <alignment horizontal="center" vertical="center" wrapText="1"/>
      <protection locked="0"/>
    </xf>
    <xf numFmtId="0" fontId="1" fillId="0" borderId="48" xfId="0" applyFont="1" applyFill="1" applyBorder="1" applyAlignment="1" applyProtection="1">
      <alignment horizontal="center" vertical="center" wrapText="1"/>
      <protection locked="0"/>
    </xf>
    <xf numFmtId="165" fontId="1" fillId="0" borderId="7" xfId="0" applyNumberFormat="1" applyFont="1" applyBorder="1" applyAlignment="1" applyProtection="1">
      <alignment horizontal="center" vertical="center" wrapText="1"/>
      <protection locked="0"/>
    </xf>
    <xf numFmtId="0" fontId="29" fillId="0" borderId="26" xfId="0" applyFont="1" applyBorder="1" applyAlignment="1">
      <alignment horizontal="center" vertical="center" wrapText="1"/>
    </xf>
    <xf numFmtId="15" fontId="29" fillId="0" borderId="26" xfId="0" applyNumberFormat="1" applyFont="1" applyBorder="1" applyAlignment="1">
      <alignment horizontal="center" vertical="center" wrapText="1"/>
    </xf>
    <xf numFmtId="0" fontId="10" fillId="2" borderId="0" xfId="0" applyFont="1" applyFill="1" applyAlignment="1" applyProtection="1">
      <alignment wrapText="1"/>
      <protection locked="0"/>
    </xf>
    <xf numFmtId="0" fontId="10" fillId="0" borderId="0" xfId="0" applyFont="1" applyAlignment="1" applyProtection="1">
      <alignment wrapText="1"/>
      <protection locked="0"/>
    </xf>
    <xf numFmtId="0" fontId="8" fillId="2" borderId="0" xfId="0" applyFont="1" applyFill="1" applyAlignment="1" applyProtection="1">
      <alignment wrapText="1"/>
      <protection locked="0"/>
    </xf>
    <xf numFmtId="0" fontId="8" fillId="0" borderId="0" xfId="0" applyFont="1" applyAlignment="1" applyProtection="1">
      <alignment wrapText="1"/>
      <protection locked="0"/>
    </xf>
    <xf numFmtId="0" fontId="8" fillId="0" borderId="0" xfId="0" applyFont="1" applyFill="1" applyAlignment="1" applyProtection="1">
      <alignment wrapText="1"/>
      <protection locked="0"/>
    </xf>
    <xf numFmtId="0" fontId="0" fillId="6" borderId="0" xfId="0" applyFill="1" applyAlignment="1" applyProtection="1">
      <alignment wrapText="1"/>
      <protection locked="0"/>
    </xf>
    <xf numFmtId="0" fontId="10" fillId="2" borderId="0" xfId="0" applyFont="1" applyFill="1" applyAlignment="1" applyProtection="1">
      <alignment horizontal="center" vertical="center" wrapText="1"/>
      <protection locked="0"/>
    </xf>
    <xf numFmtId="0" fontId="10" fillId="0" borderId="0" xfId="0" applyFont="1" applyAlignment="1" applyProtection="1">
      <alignment horizontal="center" vertical="center" wrapText="1"/>
      <protection locked="0"/>
    </xf>
    <xf numFmtId="0" fontId="1" fillId="0" borderId="3" xfId="0" applyFont="1" applyBorder="1" applyAlignment="1">
      <alignment horizontal="center" vertical="center" wrapText="1"/>
    </xf>
    <xf numFmtId="0" fontId="10" fillId="2" borderId="3" xfId="0" applyFont="1" applyFill="1" applyBorder="1" applyAlignment="1" applyProtection="1">
      <alignment horizontal="center" vertical="center" wrapText="1"/>
      <protection locked="0"/>
    </xf>
    <xf numFmtId="0" fontId="1" fillId="0" borderId="0" xfId="0" applyFont="1" applyAlignment="1">
      <alignment horizontal="center" vertical="center" wrapText="1"/>
    </xf>
    <xf numFmtId="0" fontId="1" fillId="0" borderId="13" xfId="0" applyFont="1" applyBorder="1" applyAlignment="1">
      <alignment horizontal="center" vertical="center" wrapText="1"/>
    </xf>
    <xf numFmtId="0" fontId="10" fillId="2" borderId="13" xfId="0" applyFont="1" applyFill="1" applyBorder="1" applyAlignment="1" applyProtection="1">
      <alignment horizontal="center" vertical="center" wrapText="1"/>
      <protection locked="0"/>
    </xf>
    <xf numFmtId="0" fontId="8" fillId="2" borderId="0" xfId="0" applyFont="1" applyFill="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8" fillId="2" borderId="3" xfId="0" applyFont="1" applyFill="1" applyBorder="1" applyAlignment="1" applyProtection="1">
      <alignment horizontal="center" vertical="center" wrapText="1"/>
      <protection locked="0"/>
    </xf>
    <xf numFmtId="0" fontId="8" fillId="2" borderId="7" xfId="0" applyFont="1" applyFill="1" applyBorder="1" applyAlignment="1" applyProtection="1">
      <alignment horizontal="center" vertical="center" wrapText="1"/>
      <protection locked="0"/>
    </xf>
    <xf numFmtId="0" fontId="1" fillId="2" borderId="3" xfId="0" applyFont="1" applyFill="1" applyBorder="1" applyAlignment="1" applyProtection="1">
      <alignment horizontal="center" vertical="center" wrapText="1"/>
      <protection locked="0"/>
    </xf>
    <xf numFmtId="0" fontId="8" fillId="0" borderId="13" xfId="0" applyFont="1" applyBorder="1" applyAlignment="1" applyProtection="1">
      <alignment horizontal="center" vertical="center" wrapText="1"/>
      <protection locked="0"/>
    </xf>
    <xf numFmtId="0" fontId="8" fillId="2" borderId="13" xfId="0" applyFont="1" applyFill="1" applyBorder="1" applyAlignment="1" applyProtection="1">
      <alignment horizontal="center" vertical="center" wrapText="1"/>
      <protection locked="0"/>
    </xf>
    <xf numFmtId="0" fontId="8" fillId="0" borderId="0" xfId="0" applyFont="1" applyFill="1" applyAlignment="1" applyProtection="1">
      <alignment horizontal="center" vertical="center" wrapText="1"/>
      <protection locked="0"/>
    </xf>
    <xf numFmtId="0" fontId="10" fillId="2" borderId="0" xfId="0" applyFont="1" applyFill="1" applyBorder="1" applyAlignment="1" applyProtection="1">
      <alignment horizontal="center" vertical="center" wrapText="1"/>
      <protection locked="0"/>
    </xf>
    <xf numFmtId="0" fontId="10" fillId="0" borderId="0" xfId="0" applyFont="1" applyBorder="1" applyAlignment="1" applyProtection="1">
      <alignment horizontal="center" vertical="center" wrapText="1"/>
      <protection locked="0"/>
    </xf>
    <xf numFmtId="0" fontId="10" fillId="9" borderId="48" xfId="0" applyFont="1" applyFill="1" applyBorder="1" applyAlignment="1" applyProtection="1">
      <alignment horizontal="center" vertical="center" wrapText="1"/>
      <protection locked="0"/>
    </xf>
    <xf numFmtId="0" fontId="1" fillId="0" borderId="8" xfId="0" applyFont="1" applyFill="1" applyBorder="1" applyAlignment="1" applyProtection="1">
      <alignment horizontal="center"/>
      <protection locked="0"/>
    </xf>
    <xf numFmtId="0" fontId="1" fillId="0" borderId="13" xfId="0" applyFont="1" applyFill="1" applyBorder="1" applyProtection="1">
      <protection locked="0"/>
    </xf>
    <xf numFmtId="0" fontId="1" fillId="0" borderId="3" xfId="0" applyFont="1" applyFill="1" applyBorder="1" applyProtection="1">
      <protection locked="0"/>
    </xf>
    <xf numFmtId="0" fontId="1" fillId="0" borderId="4" xfId="0" applyFont="1" applyFill="1" applyBorder="1" applyProtection="1">
      <protection locked="0"/>
    </xf>
    <xf numFmtId="0" fontId="1" fillId="0" borderId="25" xfId="0" applyFont="1" applyFill="1" applyBorder="1" applyAlignment="1" applyProtection="1">
      <alignment horizontal="center"/>
      <protection locked="0"/>
    </xf>
    <xf numFmtId="0" fontId="10" fillId="0" borderId="33" xfId="0" applyFont="1" applyBorder="1" applyAlignment="1" applyProtection="1">
      <alignment horizontal="center" vertical="center" wrapText="1"/>
      <protection locked="0"/>
    </xf>
    <xf numFmtId="0" fontId="29" fillId="0" borderId="26" xfId="0" applyFont="1" applyBorder="1" applyAlignment="1">
      <alignment horizontal="left" vertical="center" wrapText="1"/>
    </xf>
    <xf numFmtId="0" fontId="1" fillId="0" borderId="3" xfId="1" applyFont="1" applyBorder="1" applyAlignment="1" applyProtection="1">
      <alignment horizontal="center" vertical="center" wrapText="1"/>
      <protection locked="0"/>
    </xf>
    <xf numFmtId="0" fontId="1" fillId="0" borderId="3" xfId="1" applyFont="1" applyFill="1" applyBorder="1" applyAlignment="1" applyProtection="1">
      <alignment horizontal="center" vertical="center" wrapText="1"/>
      <protection locked="0"/>
    </xf>
    <xf numFmtId="0" fontId="2" fillId="0" borderId="0" xfId="0" applyFont="1" applyBorder="1" applyAlignment="1">
      <alignment horizontal="center" vertical="top" wrapText="1"/>
    </xf>
    <xf numFmtId="0" fontId="23" fillId="0" borderId="0" xfId="0" applyFont="1" applyAlignment="1">
      <alignment horizontal="center" vertical="top" wrapText="1"/>
    </xf>
    <xf numFmtId="0" fontId="24" fillId="0" borderId="0" xfId="0" applyFont="1" applyAlignment="1">
      <alignment horizontal="center" vertical="top" wrapText="1"/>
    </xf>
    <xf numFmtId="0" fontId="5" fillId="4" borderId="27" xfId="0" applyFont="1" applyFill="1" applyBorder="1" applyAlignment="1" applyProtection="1">
      <alignment horizontal="center" vertical="center" wrapText="1"/>
      <protection locked="0"/>
    </xf>
    <xf numFmtId="0" fontId="5" fillId="4" borderId="28" xfId="0" applyFont="1" applyFill="1" applyBorder="1" applyAlignment="1" applyProtection="1">
      <alignment horizontal="center" vertical="center" wrapText="1"/>
      <protection locked="0"/>
    </xf>
    <xf numFmtId="0" fontId="20" fillId="0" borderId="0" xfId="0" applyFont="1" applyFill="1" applyBorder="1" applyAlignment="1">
      <alignment horizontal="center"/>
    </xf>
    <xf numFmtId="0" fontId="20" fillId="0" borderId="2" xfId="0" applyFont="1" applyFill="1" applyBorder="1" applyAlignment="1">
      <alignment horizontal="center"/>
    </xf>
    <xf numFmtId="164" fontId="2" fillId="0" borderId="22" xfId="0" applyNumberFormat="1" applyFont="1" applyBorder="1" applyAlignment="1">
      <alignment horizontal="center" vertical="center" wrapText="1"/>
    </xf>
    <xf numFmtId="0" fontId="0" fillId="0" borderId="15" xfId="0" applyBorder="1" applyAlignment="1">
      <alignment horizontal="center" vertical="center" wrapText="1"/>
    </xf>
    <xf numFmtId="165" fontId="2" fillId="0" borderId="7" xfId="0" applyNumberFormat="1" applyFont="1" applyBorder="1" applyAlignment="1">
      <alignment horizontal="center" vertical="center" wrapText="1"/>
    </xf>
    <xf numFmtId="165" fontId="0" fillId="0" borderId="13" xfId="0" applyNumberFormat="1" applyBorder="1" applyAlignment="1">
      <alignment horizontal="center" vertical="center" wrapText="1"/>
    </xf>
    <xf numFmtId="0" fontId="2" fillId="0" borderId="43" xfId="0" applyFont="1" applyBorder="1" applyAlignment="1">
      <alignment horizontal="center" vertical="center" wrapText="1"/>
    </xf>
    <xf numFmtId="0" fontId="2" fillId="0" borderId="58" xfId="0" applyFont="1" applyBorder="1" applyAlignment="1">
      <alignment horizontal="center" vertical="center" wrapText="1"/>
    </xf>
    <xf numFmtId="0" fontId="2" fillId="0" borderId="59" xfId="0" applyFont="1" applyBorder="1" applyAlignment="1">
      <alignment horizontal="center" vertical="center" wrapText="1"/>
    </xf>
    <xf numFmtId="0" fontId="2" fillId="0" borderId="60" xfId="0" applyFont="1" applyBorder="1" applyAlignment="1">
      <alignment horizontal="center" vertical="center" wrapText="1"/>
    </xf>
    <xf numFmtId="0" fontId="4" fillId="0" borderId="1" xfId="0" applyFont="1" applyBorder="1" applyAlignment="1">
      <alignment horizontal="center" vertical="top" wrapText="1"/>
    </xf>
    <xf numFmtId="0" fontId="4" fillId="0" borderId="0" xfId="0" applyFont="1" applyBorder="1" applyAlignment="1">
      <alignment horizontal="center" vertical="top" wrapText="1"/>
    </xf>
    <xf numFmtId="0" fontId="4" fillId="0" borderId="2" xfId="0" applyFont="1" applyBorder="1" applyAlignment="1">
      <alignment horizontal="center" vertical="top" wrapText="1"/>
    </xf>
    <xf numFmtId="164" fontId="2" fillId="0" borderId="1" xfId="0" applyNumberFormat="1" applyFont="1" applyBorder="1" applyAlignment="1">
      <alignment horizontal="center" vertical="top" wrapText="1"/>
    </xf>
    <xf numFmtId="164" fontId="2" fillId="0" borderId="0" xfId="0" applyNumberFormat="1" applyFont="1" applyBorder="1" applyAlignment="1">
      <alignment horizontal="center" vertical="top" wrapText="1"/>
    </xf>
    <xf numFmtId="164" fontId="2" fillId="0" borderId="2" xfId="0" applyNumberFormat="1" applyFont="1" applyBorder="1" applyAlignment="1">
      <alignment horizontal="center" vertical="top" wrapText="1"/>
    </xf>
    <xf numFmtId="0" fontId="5" fillId="0" borderId="0" xfId="0" applyFont="1" applyAlignment="1">
      <alignment horizontal="center" vertical="top" wrapText="1"/>
    </xf>
    <xf numFmtId="0" fontId="2" fillId="0" borderId="0" xfId="0" applyFont="1" applyAlignment="1">
      <alignment horizontal="center" vertical="top" wrapText="1"/>
    </xf>
    <xf numFmtId="0" fontId="0" fillId="0" borderId="63" xfId="0" applyBorder="1" applyAlignment="1">
      <alignment horizontal="center" vertical="center" wrapText="1"/>
    </xf>
    <xf numFmtId="165" fontId="0" fillId="0" borderId="56" xfId="0" applyNumberFormat="1" applyBorder="1" applyAlignment="1">
      <alignment horizontal="center" vertical="center" wrapText="1"/>
    </xf>
    <xf numFmtId="0" fontId="2" fillId="0" borderId="65" xfId="0" applyFont="1" applyBorder="1" applyAlignment="1">
      <alignment horizontal="center" vertical="center" wrapText="1"/>
    </xf>
    <xf numFmtId="0" fontId="2" fillId="0" borderId="26" xfId="0" applyFont="1" applyBorder="1" applyAlignment="1">
      <alignment horizontal="center" vertical="center" wrapText="1"/>
    </xf>
    <xf numFmtId="0" fontId="0" fillId="0" borderId="3" xfId="0" applyFill="1" applyBorder="1" applyAlignment="1" applyProtection="1">
      <alignment horizontal="center"/>
      <protection locked="0"/>
    </xf>
    <xf numFmtId="0" fontId="8" fillId="7" borderId="44" xfId="0" applyFont="1" applyFill="1" applyBorder="1" applyAlignment="1" applyProtection="1">
      <alignment horizontal="center"/>
    </xf>
    <xf numFmtId="0" fontId="8" fillId="7" borderId="21" xfId="0" applyFont="1" applyFill="1" applyBorder="1" applyAlignment="1" applyProtection="1">
      <alignment horizontal="center"/>
    </xf>
    <xf numFmtId="0" fontId="8" fillId="7" borderId="45" xfId="0" applyFont="1" applyFill="1" applyBorder="1" applyAlignment="1" applyProtection="1">
      <alignment horizontal="center"/>
    </xf>
    <xf numFmtId="0" fontId="8" fillId="7" borderId="46" xfId="0" applyFont="1" applyFill="1" applyBorder="1" applyAlignment="1" applyProtection="1">
      <alignment horizontal="center"/>
    </xf>
    <xf numFmtId="0" fontId="1" fillId="0" borderId="8" xfId="0" applyFont="1" applyFill="1" applyBorder="1" applyAlignment="1" applyProtection="1">
      <alignment horizontal="center"/>
      <protection locked="0"/>
    </xf>
    <xf numFmtId="0" fontId="0" fillId="0" borderId="17" xfId="0" applyFill="1" applyBorder="1" applyAlignment="1" applyProtection="1">
      <alignment horizontal="center"/>
      <protection locked="0"/>
    </xf>
    <xf numFmtId="0" fontId="0" fillId="0" borderId="8" xfId="0" applyFill="1" applyBorder="1" applyAlignment="1" applyProtection="1">
      <alignment horizontal="center"/>
      <protection locked="0"/>
    </xf>
    <xf numFmtId="0" fontId="10" fillId="7" borderId="27" xfId="0" applyFont="1" applyFill="1" applyBorder="1" applyAlignment="1" applyProtection="1">
      <alignment horizontal="center"/>
    </xf>
    <xf numFmtId="0" fontId="10" fillId="7" borderId="28" xfId="0" applyFont="1" applyFill="1" applyBorder="1" applyAlignment="1" applyProtection="1">
      <alignment horizontal="center"/>
    </xf>
    <xf numFmtId="0" fontId="10" fillId="7" borderId="24" xfId="0" applyFont="1" applyFill="1" applyBorder="1" applyAlignment="1" applyProtection="1">
      <alignment horizontal="center"/>
    </xf>
    <xf numFmtId="0" fontId="10" fillId="7" borderId="13" xfId="0" applyFont="1" applyFill="1" applyBorder="1" applyAlignment="1" applyProtection="1">
      <alignment horizontal="center"/>
    </xf>
    <xf numFmtId="0" fontId="1" fillId="0" borderId="3" xfId="0" applyFont="1" applyFill="1" applyBorder="1" applyAlignment="1" applyProtection="1">
      <alignment horizontal="center"/>
      <protection locked="0"/>
    </xf>
    <xf numFmtId="0" fontId="10" fillId="7" borderId="20" xfId="0" applyFont="1" applyFill="1" applyBorder="1" applyAlignment="1" applyProtection="1">
      <alignment horizontal="left"/>
    </xf>
    <xf numFmtId="0" fontId="10" fillId="7" borderId="3" xfId="0" applyFont="1" applyFill="1" applyBorder="1" applyAlignment="1" applyProtection="1">
      <alignment horizontal="left"/>
    </xf>
    <xf numFmtId="0" fontId="8" fillId="7" borderId="44" xfId="0" applyFont="1" applyFill="1" applyBorder="1" applyAlignment="1" applyProtection="1">
      <alignment horizontal="left"/>
    </xf>
    <xf numFmtId="0" fontId="8" fillId="7" borderId="21" xfId="0" applyFont="1" applyFill="1" applyBorder="1" applyAlignment="1" applyProtection="1">
      <alignment horizontal="left"/>
    </xf>
    <xf numFmtId="0" fontId="1" fillId="0" borderId="21" xfId="0" applyFont="1" applyFill="1" applyBorder="1" applyAlignment="1" applyProtection="1">
      <alignment horizontal="center"/>
      <protection locked="0"/>
    </xf>
    <xf numFmtId="0" fontId="10" fillId="0" borderId="45" xfId="0" applyFont="1" applyFill="1" applyBorder="1" applyAlignment="1" applyProtection="1">
      <alignment horizontal="center"/>
      <protection locked="0"/>
    </xf>
    <xf numFmtId="0" fontId="10" fillId="0" borderId="46" xfId="0" applyFont="1" applyFill="1" applyBorder="1" applyAlignment="1" applyProtection="1">
      <alignment horizontal="center"/>
      <protection locked="0"/>
    </xf>
    <xf numFmtId="0" fontId="8" fillId="7" borderId="47" xfId="0" applyFont="1" applyFill="1" applyBorder="1" applyAlignment="1" applyProtection="1">
      <alignment horizontal="center"/>
    </xf>
    <xf numFmtId="0" fontId="8" fillId="7" borderId="48" xfId="0" applyFont="1" applyFill="1" applyBorder="1" applyAlignment="1" applyProtection="1">
      <alignment horizontal="center"/>
    </xf>
    <xf numFmtId="0" fontId="8" fillId="7" borderId="12" xfId="0" applyFont="1" applyFill="1" applyBorder="1" applyAlignment="1" applyProtection="1">
      <alignment horizontal="center"/>
    </xf>
    <xf numFmtId="0" fontId="8" fillId="7" borderId="49" xfId="0" applyFont="1" applyFill="1" applyBorder="1" applyAlignment="1" applyProtection="1">
      <alignment horizontal="center"/>
    </xf>
    <xf numFmtId="0" fontId="10" fillId="7" borderId="50" xfId="0" applyFont="1" applyFill="1" applyBorder="1" applyAlignment="1" applyProtection="1">
      <alignment horizontal="center"/>
    </xf>
    <xf numFmtId="0" fontId="10" fillId="7" borderId="51" xfId="0" applyFont="1" applyFill="1" applyBorder="1" applyAlignment="1" applyProtection="1">
      <alignment horizontal="center"/>
    </xf>
    <xf numFmtId="0" fontId="10" fillId="7" borderId="52" xfId="0" applyFont="1" applyFill="1" applyBorder="1" applyAlignment="1" applyProtection="1">
      <alignment horizontal="center"/>
    </xf>
    <xf numFmtId="0" fontId="10" fillId="7" borderId="53" xfId="0" applyFont="1" applyFill="1" applyBorder="1" applyAlignment="1" applyProtection="1">
      <alignment horizontal="center"/>
    </xf>
    <xf numFmtId="0" fontId="1" fillId="0" borderId="8" xfId="0" applyFont="1" applyFill="1" applyBorder="1" applyAlignment="1" applyProtection="1">
      <alignment horizontal="center" vertical="center"/>
      <protection locked="0"/>
    </xf>
    <xf numFmtId="0" fontId="0" fillId="0" borderId="33" xfId="0" applyFill="1" applyBorder="1" applyAlignment="1" applyProtection="1">
      <alignment horizontal="center" vertical="center"/>
      <protection locked="0"/>
    </xf>
    <xf numFmtId="0" fontId="10" fillId="0" borderId="8" xfId="0" applyFont="1" applyFill="1" applyBorder="1" applyAlignment="1" applyProtection="1">
      <alignment horizontal="center" vertical="center"/>
      <protection locked="0"/>
    </xf>
    <xf numFmtId="0" fontId="0" fillId="0" borderId="33" xfId="0" applyFill="1" applyBorder="1" applyAlignment="1" applyProtection="1">
      <alignment horizontal="center"/>
      <protection locked="0"/>
    </xf>
    <xf numFmtId="0" fontId="0" fillId="0" borderId="43" xfId="0" applyFill="1" applyBorder="1" applyAlignment="1" applyProtection="1">
      <alignment horizontal="center"/>
      <protection locked="0"/>
    </xf>
    <xf numFmtId="0" fontId="0" fillId="0" borderId="5" xfId="0" applyFill="1" applyBorder="1" applyAlignment="1" applyProtection="1">
      <alignment horizontal="center"/>
      <protection locked="0"/>
    </xf>
    <xf numFmtId="0" fontId="8" fillId="7" borderId="35" xfId="0" applyFont="1" applyFill="1" applyBorder="1" applyAlignment="1" applyProtection="1">
      <alignment horizontal="center"/>
    </xf>
    <xf numFmtId="0" fontId="8" fillId="7" borderId="36" xfId="0" applyFont="1" applyFill="1" applyBorder="1" applyAlignment="1" applyProtection="1">
      <alignment horizontal="center"/>
    </xf>
    <xf numFmtId="0" fontId="8" fillId="7" borderId="37" xfId="0" applyFont="1" applyFill="1" applyBorder="1" applyAlignment="1" applyProtection="1">
      <alignment horizontal="center"/>
    </xf>
    <xf numFmtId="0" fontId="0" fillId="0" borderId="8" xfId="0" applyFill="1" applyBorder="1" applyAlignment="1" applyProtection="1">
      <alignment horizontal="left" vertical="center"/>
      <protection locked="0"/>
    </xf>
    <xf numFmtId="0" fontId="0" fillId="0" borderId="25" xfId="0" applyFill="1" applyBorder="1" applyAlignment="1" applyProtection="1">
      <alignment horizontal="left" vertical="center"/>
      <protection locked="0"/>
    </xf>
    <xf numFmtId="0" fontId="0" fillId="0" borderId="17" xfId="0" applyFill="1" applyBorder="1" applyAlignment="1" applyProtection="1">
      <alignment horizontal="left" vertical="center"/>
      <protection locked="0"/>
    </xf>
    <xf numFmtId="0" fontId="10" fillId="0" borderId="38" xfId="0" applyFont="1" applyFill="1" applyBorder="1" applyAlignment="1" applyProtection="1">
      <alignment horizontal="left" vertical="center" wrapText="1"/>
      <protection locked="0"/>
    </xf>
    <xf numFmtId="0" fontId="10" fillId="0" borderId="39" xfId="0" applyFont="1" applyFill="1" applyBorder="1" applyAlignment="1" applyProtection="1">
      <alignment horizontal="left" vertical="center" wrapText="1"/>
      <protection locked="0"/>
    </xf>
    <xf numFmtId="0" fontId="0" fillId="0" borderId="40" xfId="0" applyFill="1" applyBorder="1" applyAlignment="1" applyProtection="1">
      <alignment horizontal="left" vertical="center" wrapText="1"/>
      <protection locked="0"/>
    </xf>
    <xf numFmtId="0" fontId="10" fillId="7" borderId="15" xfId="0" applyFont="1" applyFill="1" applyBorder="1" applyAlignment="1" applyProtection="1">
      <alignment horizontal="left"/>
    </xf>
    <xf numFmtId="0" fontId="10" fillId="7" borderId="13" xfId="0" applyFont="1" applyFill="1" applyBorder="1" applyAlignment="1" applyProtection="1">
      <alignment horizontal="left"/>
    </xf>
    <xf numFmtId="0" fontId="0" fillId="0" borderId="7" xfId="0" applyFill="1" applyBorder="1" applyAlignment="1" applyProtection="1">
      <alignment horizontal="center"/>
      <protection locked="0"/>
    </xf>
    <xf numFmtId="1" fontId="10" fillId="7" borderId="8" xfId="0" applyNumberFormat="1" applyFont="1" applyFill="1" applyBorder="1" applyAlignment="1" applyProtection="1">
      <alignment horizontal="center"/>
    </xf>
    <xf numFmtId="0" fontId="10" fillId="7" borderId="25" xfId="0" applyFont="1" applyFill="1" applyBorder="1" applyAlignment="1" applyProtection="1">
      <alignment horizontal="center"/>
    </xf>
    <xf numFmtId="0" fontId="10" fillId="7" borderId="17" xfId="0" applyFont="1" applyFill="1" applyBorder="1" applyAlignment="1" applyProtection="1">
      <alignment horizontal="center"/>
    </xf>
    <xf numFmtId="0" fontId="0" fillId="0" borderId="25" xfId="0" applyFill="1" applyBorder="1" applyAlignment="1" applyProtection="1">
      <alignment horizontal="center"/>
      <protection locked="0"/>
    </xf>
    <xf numFmtId="0" fontId="10" fillId="7" borderId="41" xfId="0" applyFont="1" applyFill="1" applyBorder="1" applyAlignment="1" applyProtection="1">
      <alignment horizontal="center" vertical="center"/>
    </xf>
    <xf numFmtId="0" fontId="10" fillId="7" borderId="42" xfId="0" applyFont="1" applyFill="1" applyBorder="1" applyAlignment="1" applyProtection="1">
      <alignment horizontal="center" vertical="center"/>
    </xf>
    <xf numFmtId="0" fontId="10" fillId="0" borderId="8" xfId="0" applyFont="1" applyFill="1" applyBorder="1" applyAlignment="1" applyProtection="1">
      <alignment horizontal="center"/>
      <protection locked="0"/>
    </xf>
    <xf numFmtId="0" fontId="10" fillId="7" borderId="29" xfId="0" applyFont="1" applyFill="1" applyBorder="1" applyAlignment="1" applyProtection="1">
      <alignment horizontal="left"/>
    </xf>
    <xf numFmtId="0" fontId="10" fillId="7" borderId="30" xfId="0" applyFont="1" applyFill="1" applyBorder="1" applyAlignment="1" applyProtection="1">
      <alignment horizontal="left"/>
    </xf>
    <xf numFmtId="0" fontId="10" fillId="7" borderId="31" xfId="0" applyFont="1" applyFill="1" applyBorder="1" applyAlignment="1" applyProtection="1">
      <alignment horizontal="left"/>
    </xf>
    <xf numFmtId="0" fontId="10" fillId="7" borderId="32" xfId="0" applyFont="1" applyFill="1" applyBorder="1" applyAlignment="1" applyProtection="1">
      <alignment horizontal="center"/>
    </xf>
    <xf numFmtId="0" fontId="1" fillId="0" borderId="25" xfId="0" applyFont="1" applyFill="1" applyBorder="1" applyAlignment="1" applyProtection="1">
      <alignment horizontal="center"/>
      <protection locked="0"/>
    </xf>
    <xf numFmtId="0" fontId="1" fillId="0" borderId="33" xfId="0" applyFont="1" applyFill="1" applyBorder="1" applyAlignment="1" applyProtection="1">
      <alignment horizontal="center"/>
      <protection locked="0"/>
    </xf>
    <xf numFmtId="0" fontId="1" fillId="0" borderId="25" xfId="0" applyFont="1" applyFill="1" applyBorder="1" applyAlignment="1" applyProtection="1">
      <alignment horizontal="center" wrapText="1"/>
      <protection locked="0"/>
    </xf>
    <xf numFmtId="0" fontId="1" fillId="0" borderId="33" xfId="0" applyFont="1" applyFill="1" applyBorder="1" applyAlignment="1" applyProtection="1">
      <alignment horizontal="center" wrapText="1"/>
      <protection locked="0"/>
    </xf>
    <xf numFmtId="0" fontId="10" fillId="7" borderId="34" xfId="0" applyFont="1" applyFill="1" applyBorder="1" applyAlignment="1" applyProtection="1">
      <alignment horizontal="center" vertical="center" wrapText="1"/>
    </xf>
    <xf numFmtId="0" fontId="10" fillId="7" borderId="11" xfId="0" applyFont="1" applyFill="1" applyBorder="1" applyAlignment="1" applyProtection="1">
      <alignment horizontal="center" vertical="center" wrapText="1"/>
    </xf>
    <xf numFmtId="0" fontId="8" fillId="7" borderId="29" xfId="0" applyFont="1" applyFill="1" applyBorder="1" applyAlignment="1" applyProtection="1">
      <alignment horizontal="center"/>
    </xf>
    <xf numFmtId="0" fontId="8" fillId="7" borderId="30" xfId="0" applyFont="1" applyFill="1" applyBorder="1" applyAlignment="1" applyProtection="1">
      <alignment horizontal="center"/>
    </xf>
    <xf numFmtId="0" fontId="8" fillId="7" borderId="31" xfId="0" applyFont="1" applyFill="1" applyBorder="1" applyAlignment="1" applyProtection="1">
      <alignment horizontal="center"/>
    </xf>
    <xf numFmtId="0" fontId="1" fillId="0" borderId="17" xfId="0" applyFont="1" applyFill="1" applyBorder="1" applyAlignment="1" applyProtection="1">
      <alignment horizontal="center"/>
      <protection locked="0"/>
    </xf>
    <xf numFmtId="0" fontId="10" fillId="4" borderId="3" xfId="0" applyFont="1" applyFill="1" applyBorder="1" applyAlignment="1">
      <alignment horizontal="center" vertical="center" wrapText="1"/>
    </xf>
    <xf numFmtId="0" fontId="22" fillId="0" borderId="5"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55" xfId="0" applyFont="1" applyBorder="1" applyAlignment="1">
      <alignment horizontal="center" vertical="center" wrapText="1"/>
    </xf>
    <xf numFmtId="0" fontId="22" fillId="0" borderId="7" xfId="0" applyFont="1" applyBorder="1" applyAlignment="1">
      <alignment horizontal="center" vertical="center" wrapText="1"/>
    </xf>
    <xf numFmtId="0" fontId="22" fillId="0" borderId="48" xfId="0" applyFont="1" applyBorder="1" applyAlignment="1">
      <alignment horizontal="center" vertical="center" wrapText="1"/>
    </xf>
    <xf numFmtId="0" fontId="22" fillId="0" borderId="56" xfId="0" applyFont="1" applyBorder="1" applyAlignment="1">
      <alignment horizontal="center" vertical="center" wrapText="1"/>
    </xf>
    <xf numFmtId="0" fontId="13" fillId="4" borderId="8" xfId="0" applyFont="1" applyFill="1" applyBorder="1" applyAlignment="1">
      <alignment horizontal="center" vertical="center" wrapText="1"/>
    </xf>
    <xf numFmtId="0" fontId="13" fillId="4" borderId="25" xfId="0" applyFont="1" applyFill="1" applyBorder="1" applyAlignment="1">
      <alignment horizontal="center" vertical="center" wrapText="1"/>
    </xf>
    <xf numFmtId="0" fontId="13" fillId="4" borderId="17" xfId="0" applyFont="1" applyFill="1" applyBorder="1" applyAlignment="1">
      <alignment horizontal="center" vertical="center" wrapText="1"/>
    </xf>
    <xf numFmtId="0" fontId="10" fillId="4" borderId="43" xfId="0" applyFont="1" applyFill="1" applyBorder="1" applyAlignment="1">
      <alignment vertical="center" wrapText="1"/>
    </xf>
    <xf numFmtId="0" fontId="10" fillId="4" borderId="57" xfId="0" applyFont="1" applyFill="1" applyBorder="1" applyAlignment="1">
      <alignment vertical="center" wrapText="1"/>
    </xf>
    <xf numFmtId="0" fontId="10" fillId="4" borderId="58" xfId="0" applyFont="1" applyFill="1" applyBorder="1" applyAlignment="1">
      <alignment vertical="center" wrapText="1"/>
    </xf>
    <xf numFmtId="0" fontId="10" fillId="4" borderId="59" xfId="0" applyFont="1" applyFill="1" applyBorder="1" applyAlignment="1">
      <alignment vertical="center" wrapText="1"/>
    </xf>
    <xf numFmtId="0" fontId="10" fillId="4" borderId="18" xfId="0" applyFont="1" applyFill="1" applyBorder="1" applyAlignment="1">
      <alignment vertical="center" wrapText="1"/>
    </xf>
    <xf numFmtId="0" fontId="10" fillId="4" borderId="60" xfId="0" applyFont="1" applyFill="1" applyBorder="1" applyAlignment="1">
      <alignment vertical="center" wrapText="1"/>
    </xf>
    <xf numFmtId="0" fontId="10" fillId="5" borderId="3" xfId="0" applyFont="1" applyFill="1" applyBorder="1" applyAlignment="1">
      <alignment horizontal="center" vertical="center" wrapText="1"/>
    </xf>
    <xf numFmtId="0" fontId="13" fillId="4" borderId="5" xfId="0" applyFont="1" applyFill="1" applyBorder="1" applyAlignment="1">
      <alignment horizontal="center" vertical="center" wrapText="1"/>
    </xf>
    <xf numFmtId="0" fontId="13" fillId="4" borderId="11" xfId="0" applyFont="1" applyFill="1" applyBorder="1" applyAlignment="1">
      <alignment horizontal="center" vertical="center" wrapText="1"/>
    </xf>
    <xf numFmtId="0" fontId="13" fillId="4" borderId="3" xfId="0" applyFont="1" applyFill="1" applyBorder="1" applyAlignment="1">
      <alignment horizontal="center" vertical="center" wrapText="1"/>
    </xf>
    <xf numFmtId="0" fontId="11" fillId="4" borderId="44" xfId="0" applyFont="1" applyFill="1" applyBorder="1" applyAlignment="1">
      <alignment horizontal="center" vertical="center" wrapText="1"/>
    </xf>
    <xf numFmtId="0" fontId="11" fillId="4" borderId="54" xfId="0" applyFont="1" applyFill="1" applyBorder="1" applyAlignment="1">
      <alignment horizontal="center" vertical="center" wrapText="1"/>
    </xf>
    <xf numFmtId="0" fontId="11" fillId="4" borderId="21" xfId="0" applyFont="1" applyFill="1" applyBorder="1" applyAlignment="1">
      <alignment horizontal="center" vertical="center" wrapText="1"/>
    </xf>
    <xf numFmtId="0" fontId="11" fillId="4" borderId="45" xfId="0" applyFont="1" applyFill="1" applyBorder="1" applyAlignment="1">
      <alignment horizontal="center" vertical="center" wrapText="1"/>
    </xf>
    <xf numFmtId="0" fontId="11" fillId="4" borderId="46" xfId="0" applyFont="1" applyFill="1" applyBorder="1" applyAlignment="1">
      <alignment horizontal="center" vertical="center" wrapText="1"/>
    </xf>
    <xf numFmtId="0" fontId="18" fillId="4" borderId="15" xfId="0" applyFont="1" applyFill="1" applyBorder="1" applyAlignment="1">
      <alignment horizontal="center" vertical="center" wrapText="1"/>
    </xf>
    <xf numFmtId="0" fontId="18" fillId="4" borderId="11" xfId="0" applyFont="1" applyFill="1" applyBorder="1" applyAlignment="1">
      <alignment horizontal="center" vertical="center" wrapText="1"/>
    </xf>
    <xf numFmtId="0" fontId="18" fillId="4" borderId="13" xfId="0" applyFont="1" applyFill="1" applyBorder="1" applyAlignment="1">
      <alignment horizontal="center" vertical="center" wrapText="1"/>
    </xf>
    <xf numFmtId="0" fontId="10" fillId="4" borderId="27" xfId="0" applyFont="1" applyFill="1" applyBorder="1" applyAlignment="1">
      <alignment horizontal="left" vertical="center" wrapText="1"/>
    </xf>
    <xf numFmtId="0" fontId="10" fillId="4" borderId="32" xfId="0" applyFont="1" applyFill="1" applyBorder="1" applyAlignment="1">
      <alignment horizontal="left" vertical="center" wrapText="1"/>
    </xf>
    <xf numFmtId="0" fontId="10" fillId="4" borderId="28" xfId="0" applyFont="1" applyFill="1" applyBorder="1" applyAlignment="1">
      <alignment horizontal="left" vertical="center" wrapText="1"/>
    </xf>
    <xf numFmtId="0" fontId="18" fillId="4" borderId="20" xfId="0" applyFont="1" applyFill="1" applyBorder="1" applyAlignment="1">
      <alignment horizontal="center" vertical="center" wrapText="1"/>
    </xf>
    <xf numFmtId="0" fontId="18" fillId="4" borderId="33" xfId="0" applyFont="1" applyFill="1" applyBorder="1" applyAlignment="1">
      <alignment horizontal="center" vertical="center" wrapText="1"/>
    </xf>
    <xf numFmtId="0" fontId="18" fillId="4" borderId="3" xfId="0" applyFont="1" applyFill="1" applyBorder="1" applyAlignment="1">
      <alignment horizontal="center" vertical="center" wrapText="1"/>
    </xf>
    <xf numFmtId="0" fontId="17" fillId="0" borderId="3" xfId="0" applyFont="1" applyFill="1" applyBorder="1" applyAlignment="1">
      <alignment horizontal="center" vertical="center" wrapText="1"/>
    </xf>
    <xf numFmtId="0" fontId="17" fillId="0" borderId="8" xfId="0" applyFont="1" applyFill="1" applyBorder="1" applyAlignment="1">
      <alignment horizontal="center" vertical="center" wrapText="1"/>
    </xf>
    <xf numFmtId="0" fontId="17" fillId="0" borderId="4" xfId="0" applyFont="1" applyFill="1" applyBorder="1" applyAlignment="1">
      <alignment horizontal="center" vertical="center" wrapText="1"/>
    </xf>
    <xf numFmtId="0" fontId="10" fillId="5" borderId="3" xfId="0" applyFont="1" applyFill="1" applyBorder="1" applyAlignment="1" applyProtection="1">
      <alignment horizontal="center" vertical="center" wrapText="1"/>
      <protection locked="0"/>
    </xf>
    <xf numFmtId="0" fontId="10" fillId="5" borderId="7" xfId="0" applyFont="1" applyFill="1" applyBorder="1" applyAlignment="1" applyProtection="1">
      <alignment horizontal="center" vertical="center" wrapText="1"/>
      <protection locked="0"/>
    </xf>
    <xf numFmtId="0" fontId="10" fillId="5" borderId="13" xfId="0" applyFont="1" applyFill="1" applyBorder="1" applyAlignment="1" applyProtection="1">
      <alignment horizontal="center" vertical="center" wrapText="1"/>
      <protection locked="0"/>
    </xf>
    <xf numFmtId="0" fontId="13" fillId="4" borderId="3" xfId="0" applyFont="1" applyFill="1" applyBorder="1" applyAlignment="1" applyProtection="1">
      <alignment horizontal="center" vertical="center" wrapText="1"/>
      <protection locked="0"/>
    </xf>
    <xf numFmtId="0" fontId="10" fillId="4" borderId="8" xfId="0" applyFont="1" applyFill="1" applyBorder="1" applyAlignment="1" applyProtection="1">
      <alignment horizontal="center" vertical="center" wrapText="1"/>
      <protection locked="0"/>
    </xf>
    <xf numFmtId="0" fontId="10" fillId="4" borderId="25" xfId="0" applyFont="1" applyFill="1" applyBorder="1" applyAlignment="1" applyProtection="1">
      <alignment horizontal="center" vertical="center" wrapText="1"/>
      <protection locked="0"/>
    </xf>
    <xf numFmtId="0" fontId="10" fillId="4" borderId="33" xfId="0" applyFont="1" applyFill="1" applyBorder="1" applyAlignment="1" applyProtection="1">
      <alignment horizontal="center" vertical="center" wrapText="1"/>
      <protection locked="0"/>
    </xf>
    <xf numFmtId="165" fontId="1" fillId="0" borderId="8" xfId="0" applyNumberFormat="1" applyFont="1" applyBorder="1" applyAlignment="1" applyProtection="1">
      <alignment horizontal="center" vertical="center" wrapText="1"/>
      <protection locked="0"/>
    </xf>
    <xf numFmtId="165" fontId="10" fillId="0" borderId="25" xfId="0" applyNumberFormat="1" applyFont="1" applyBorder="1" applyAlignment="1" applyProtection="1">
      <alignment horizontal="center" vertical="center" wrapText="1"/>
      <protection locked="0"/>
    </xf>
    <xf numFmtId="165" fontId="10" fillId="0" borderId="33" xfId="0" applyNumberFormat="1" applyFont="1" applyBorder="1" applyAlignment="1" applyProtection="1">
      <alignment horizontal="center" vertical="center" wrapText="1"/>
      <protection locked="0"/>
    </xf>
    <xf numFmtId="0" fontId="10" fillId="5" borderId="48" xfId="0" applyFont="1" applyFill="1" applyBorder="1" applyAlignment="1" applyProtection="1">
      <alignment horizontal="center" vertical="center" wrapText="1"/>
      <protection locked="0"/>
    </xf>
    <xf numFmtId="0" fontId="13" fillId="4" borderId="8" xfId="0" applyFont="1" applyFill="1" applyBorder="1" applyAlignment="1" applyProtection="1">
      <alignment horizontal="center" vertical="center" wrapText="1"/>
      <protection locked="0"/>
    </xf>
    <xf numFmtId="0" fontId="13" fillId="4" borderId="33" xfId="0" applyFont="1" applyFill="1" applyBorder="1" applyAlignment="1" applyProtection="1">
      <alignment horizontal="center" vertical="center" wrapText="1"/>
      <protection locked="0"/>
    </xf>
    <xf numFmtId="0" fontId="9" fillId="4"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165" fontId="10" fillId="0" borderId="25" xfId="0" applyNumberFormat="1" applyFont="1" applyFill="1" applyBorder="1" applyAlignment="1" applyProtection="1">
      <alignment horizontal="center" vertical="center" wrapText="1"/>
      <protection locked="0"/>
    </xf>
    <xf numFmtId="165" fontId="10" fillId="0" borderId="33" xfId="0" applyNumberFormat="1" applyFont="1" applyFill="1" applyBorder="1" applyAlignment="1" applyProtection="1">
      <alignment horizontal="center" vertical="center" wrapText="1"/>
      <protection locked="0"/>
    </xf>
    <xf numFmtId="0" fontId="10" fillId="0" borderId="8" xfId="0" applyFont="1" applyFill="1" applyBorder="1" applyAlignment="1" applyProtection="1">
      <alignment horizontal="center" vertical="center" wrapText="1"/>
    </xf>
    <xf numFmtId="0" fontId="10" fillId="0" borderId="25" xfId="0" applyFont="1" applyFill="1" applyBorder="1" applyAlignment="1" applyProtection="1">
      <alignment horizontal="center" vertical="center" wrapText="1"/>
    </xf>
    <xf numFmtId="0" fontId="10" fillId="0" borderId="33" xfId="0" applyFont="1" applyFill="1" applyBorder="1" applyAlignment="1" applyProtection="1">
      <alignment horizontal="center" vertical="center" wrapText="1"/>
    </xf>
    <xf numFmtId="0" fontId="1" fillId="0" borderId="25" xfId="0" applyNumberFormat="1" applyFont="1" applyFill="1" applyBorder="1" applyAlignment="1" applyProtection="1">
      <alignment horizontal="center" vertical="center" wrapText="1"/>
    </xf>
    <xf numFmtId="0" fontId="10" fillId="0" borderId="25" xfId="0" applyNumberFormat="1" applyFont="1" applyFill="1" applyBorder="1" applyAlignment="1" applyProtection="1">
      <alignment horizontal="center" vertical="center" wrapText="1"/>
    </xf>
    <xf numFmtId="0" fontId="10" fillId="0" borderId="33" xfId="0" applyNumberFormat="1" applyFont="1" applyFill="1" applyBorder="1" applyAlignment="1" applyProtection="1">
      <alignment horizontal="center" vertical="center" wrapText="1"/>
    </xf>
    <xf numFmtId="0" fontId="10" fillId="0" borderId="25" xfId="0" applyFont="1" applyBorder="1" applyAlignment="1" applyProtection="1">
      <alignment horizontal="center" vertical="center" wrapText="1"/>
      <protection locked="0"/>
    </xf>
    <xf numFmtId="0" fontId="10" fillId="0" borderId="33" xfId="0" applyFont="1" applyBorder="1" applyAlignment="1" applyProtection="1">
      <alignment horizontal="center" vertical="center" wrapText="1"/>
      <protection locked="0"/>
    </xf>
    <xf numFmtId="1" fontId="10" fillId="0" borderId="8" xfId="0" applyNumberFormat="1" applyFont="1" applyFill="1" applyBorder="1" applyAlignment="1" applyProtection="1">
      <alignment horizontal="center" vertical="center" wrapText="1"/>
    </xf>
    <xf numFmtId="1" fontId="10" fillId="0" borderId="25" xfId="0" applyNumberFormat="1" applyFont="1" applyFill="1" applyBorder="1" applyAlignment="1" applyProtection="1">
      <alignment horizontal="center" vertical="center" wrapText="1"/>
    </xf>
    <xf numFmtId="1" fontId="10" fillId="0" borderId="33" xfId="0" applyNumberFormat="1" applyFont="1" applyFill="1" applyBorder="1" applyAlignment="1" applyProtection="1">
      <alignment horizontal="center" vertical="center" wrapText="1"/>
    </xf>
    <xf numFmtId="0" fontId="10" fillId="0" borderId="8" xfId="0" applyFont="1" applyFill="1" applyBorder="1" applyAlignment="1" applyProtection="1">
      <alignment horizontal="center" vertical="center" wrapText="1"/>
      <protection locked="0"/>
    </xf>
    <xf numFmtId="0" fontId="10" fillId="0" borderId="25"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center" vertical="center" wrapText="1"/>
      <protection locked="0"/>
    </xf>
    <xf numFmtId="0" fontId="28" fillId="0" borderId="8" xfId="0" applyFont="1" applyBorder="1" applyAlignment="1">
      <alignment horizontal="left" wrapText="1"/>
    </xf>
    <xf numFmtId="0" fontId="28" fillId="0" borderId="33" xfId="0" applyFont="1" applyBorder="1" applyAlignment="1">
      <alignment horizontal="left" wrapText="1"/>
    </xf>
    <xf numFmtId="0" fontId="8" fillId="4" borderId="8" xfId="0" applyFont="1" applyFill="1" applyBorder="1" applyAlignment="1">
      <alignment horizontal="center" vertical="center" wrapText="1"/>
    </xf>
    <xf numFmtId="0" fontId="8" fillId="4" borderId="33" xfId="0" applyFont="1" applyFill="1" applyBorder="1" applyAlignment="1">
      <alignment horizontal="center" vertical="center" wrapText="1"/>
    </xf>
    <xf numFmtId="0" fontId="11" fillId="4" borderId="3" xfId="0" applyFont="1" applyFill="1" applyBorder="1" applyAlignment="1">
      <alignment horizontal="center" wrapText="1"/>
    </xf>
    <xf numFmtId="0" fontId="8" fillId="0" borderId="8" xfId="0" applyFont="1" applyFill="1" applyBorder="1" applyAlignment="1">
      <alignment horizontal="center" vertical="center" wrapText="1"/>
    </xf>
    <xf numFmtId="0" fontId="8" fillId="0" borderId="25" xfId="0" applyFont="1" applyFill="1" applyBorder="1" applyAlignment="1">
      <alignment horizontal="center" vertical="center" wrapText="1"/>
    </xf>
    <xf numFmtId="0" fontId="8" fillId="0" borderId="33" xfId="0" applyFont="1" applyFill="1" applyBorder="1" applyAlignment="1">
      <alignment horizontal="center" vertical="center" wrapText="1"/>
    </xf>
    <xf numFmtId="0" fontId="8" fillId="8" borderId="8" xfId="0" applyFont="1" applyFill="1" applyBorder="1" applyAlignment="1">
      <alignment horizontal="center" vertical="center" wrapText="1"/>
    </xf>
    <xf numFmtId="0" fontId="8" fillId="8" borderId="25" xfId="0" applyFont="1" applyFill="1" applyBorder="1" applyAlignment="1">
      <alignment horizontal="center" vertical="center" wrapText="1"/>
    </xf>
    <xf numFmtId="0" fontId="8" fillId="8" borderId="33" xfId="0" applyFont="1" applyFill="1" applyBorder="1" applyAlignment="1">
      <alignment horizontal="center" vertical="center" wrapText="1"/>
    </xf>
    <xf numFmtId="0" fontId="8" fillId="8" borderId="3" xfId="0" applyFont="1" applyFill="1" applyBorder="1" applyAlignment="1">
      <alignment horizontal="center" vertical="center" wrapText="1"/>
    </xf>
    <xf numFmtId="0" fontId="11" fillId="4" borderId="44" xfId="0" applyFont="1" applyFill="1" applyBorder="1" applyAlignment="1" applyProtection="1">
      <alignment horizontal="center"/>
      <protection locked="0"/>
    </xf>
    <xf numFmtId="0" fontId="11" fillId="4" borderId="21" xfId="0" applyFont="1" applyFill="1" applyBorder="1" applyAlignment="1" applyProtection="1">
      <alignment horizontal="center"/>
      <protection locked="0"/>
    </xf>
    <xf numFmtId="0" fontId="11" fillId="4" borderId="46" xfId="0" applyFont="1" applyFill="1" applyBorder="1" applyAlignment="1" applyProtection="1">
      <alignment horizontal="center"/>
      <protection locked="0"/>
    </xf>
    <xf numFmtId="0" fontId="13" fillId="4" borderId="15" xfId="0" applyFont="1" applyFill="1" applyBorder="1" applyAlignment="1" applyProtection="1">
      <alignment horizontal="center"/>
      <protection locked="0"/>
    </xf>
    <xf numFmtId="0" fontId="13" fillId="4" borderId="13" xfId="0" applyFont="1" applyFill="1" applyBorder="1" applyAlignment="1" applyProtection="1">
      <protection locked="0"/>
    </xf>
    <xf numFmtId="0" fontId="13" fillId="4" borderId="23" xfId="0" applyFont="1" applyFill="1" applyBorder="1" applyAlignment="1" applyProtection="1">
      <protection locked="0"/>
    </xf>
    <xf numFmtId="2" fontId="10" fillId="2" borderId="57" xfId="0" applyNumberFormat="1" applyFont="1" applyFill="1" applyBorder="1" applyAlignment="1" applyProtection="1">
      <alignment horizontal="left"/>
    </xf>
    <xf numFmtId="0" fontId="0" fillId="2" borderId="57" xfId="0" applyFill="1" applyBorder="1" applyAlignment="1" applyProtection="1">
      <alignment horizontal="left"/>
    </xf>
    <xf numFmtId="0" fontId="8" fillId="4" borderId="8" xfId="0" applyFont="1" applyFill="1" applyBorder="1" applyAlignment="1" applyProtection="1">
      <alignment horizontal="left" wrapText="1"/>
      <protection locked="0"/>
    </xf>
    <xf numFmtId="0" fontId="8" fillId="4" borderId="17" xfId="0" applyFont="1" applyFill="1" applyBorder="1" applyAlignment="1" applyProtection="1">
      <alignment horizontal="left" wrapText="1"/>
      <protection locked="0"/>
    </xf>
    <xf numFmtId="0" fontId="10" fillId="4" borderId="8" xfId="0" applyFont="1" applyFill="1" applyBorder="1" applyAlignment="1" applyProtection="1">
      <alignment horizontal="left" vertical="center" wrapText="1"/>
      <protection locked="0"/>
    </xf>
    <xf numFmtId="0" fontId="10" fillId="4" borderId="33" xfId="0" applyFont="1" applyFill="1" applyBorder="1" applyAlignment="1" applyProtection="1">
      <alignment horizontal="left" vertical="center" wrapText="1"/>
      <protection locked="0"/>
    </xf>
    <xf numFmtId="0" fontId="10" fillId="4" borderId="3" xfId="0" applyFont="1" applyFill="1" applyBorder="1" applyAlignment="1" applyProtection="1">
      <alignment horizontal="left" vertical="center" wrapText="1"/>
      <protection locked="0"/>
    </xf>
    <xf numFmtId="0" fontId="18" fillId="4" borderId="34" xfId="0" applyFont="1" applyFill="1" applyBorder="1" applyAlignment="1" applyProtection="1">
      <alignment horizontal="center" vertical="center" wrapText="1"/>
      <protection locked="0"/>
    </xf>
    <xf numFmtId="0" fontId="18" fillId="4" borderId="18" xfId="0" applyFont="1" applyFill="1" applyBorder="1" applyAlignment="1" applyProtection="1">
      <alignment horizontal="center" vertical="center" wrapText="1"/>
      <protection locked="0"/>
    </xf>
    <xf numFmtId="0" fontId="18" fillId="4" borderId="24" xfId="0" applyFont="1" applyFill="1" applyBorder="1" applyAlignment="1" applyProtection="1">
      <alignment horizontal="center" vertical="center" wrapText="1"/>
      <protection locked="0"/>
    </xf>
    <xf numFmtId="0" fontId="18" fillId="4" borderId="29" xfId="0" applyFont="1" applyFill="1" applyBorder="1" applyAlignment="1" applyProtection="1">
      <alignment horizontal="center" vertical="center" wrapText="1"/>
      <protection locked="0"/>
    </xf>
    <xf numFmtId="0" fontId="18" fillId="4" borderId="30" xfId="0" applyFont="1" applyFill="1" applyBorder="1" applyAlignment="1" applyProtection="1">
      <alignment horizontal="center" vertical="center" wrapText="1"/>
      <protection locked="0"/>
    </xf>
    <xf numFmtId="0" fontId="18" fillId="4" borderId="31" xfId="0" applyFont="1" applyFill="1" applyBorder="1" applyAlignment="1" applyProtection="1">
      <alignment horizontal="center" vertical="center" wrapText="1"/>
      <protection locked="0"/>
    </xf>
    <xf numFmtId="2" fontId="10" fillId="0" borderId="57" xfId="0" applyNumberFormat="1" applyFont="1" applyBorder="1" applyAlignment="1" applyProtection="1">
      <alignment horizontal="left" vertical="center" wrapText="1"/>
    </xf>
    <xf numFmtId="0" fontId="21" fillId="0" borderId="57" xfId="0" applyNumberFormat="1" applyFont="1" applyBorder="1" applyAlignment="1" applyProtection="1">
      <alignment horizontal="left" vertical="center" wrapText="1"/>
    </xf>
    <xf numFmtId="0" fontId="10" fillId="4" borderId="3" xfId="0" applyFont="1" applyFill="1" applyBorder="1" applyAlignment="1" applyProtection="1">
      <alignment horizontal="left"/>
      <protection locked="0"/>
    </xf>
    <xf numFmtId="0" fontId="13" fillId="4" borderId="3" xfId="0" applyFont="1" applyFill="1" applyBorder="1" applyAlignment="1" applyProtection="1">
      <alignment horizontal="center" vertical="top" wrapText="1"/>
      <protection locked="0"/>
    </xf>
    <xf numFmtId="0" fontId="10" fillId="4" borderId="8" xfId="0" applyFont="1" applyFill="1" applyBorder="1" applyAlignment="1" applyProtection="1">
      <alignment horizontal="left"/>
      <protection locked="0"/>
    </xf>
    <xf numFmtId="0" fontId="10" fillId="4" borderId="33" xfId="0" applyFont="1" applyFill="1" applyBorder="1" applyAlignment="1" applyProtection="1">
      <alignment horizontal="left"/>
      <protection locked="0"/>
    </xf>
    <xf numFmtId="0" fontId="18" fillId="4" borderId="0" xfId="0" applyFont="1" applyFill="1" applyBorder="1" applyAlignment="1" applyProtection="1">
      <alignment horizontal="left" wrapText="1"/>
      <protection locked="0"/>
    </xf>
    <xf numFmtId="0" fontId="18" fillId="4" borderId="0" xfId="0" applyFont="1" applyFill="1" applyBorder="1" applyAlignment="1" applyProtection="1">
      <alignment horizontal="left"/>
      <protection locked="0"/>
    </xf>
    <xf numFmtId="0" fontId="1" fillId="4" borderId="7" xfId="0" applyFont="1" applyFill="1" applyBorder="1" applyAlignment="1" applyProtection="1">
      <alignment horizontal="center" vertical="center" wrapText="1"/>
      <protection locked="0"/>
    </xf>
    <xf numFmtId="165" fontId="1" fillId="0" borderId="48" xfId="0" applyNumberFormat="1" applyFont="1" applyBorder="1" applyAlignment="1" applyProtection="1">
      <alignment horizontal="center" vertical="center" wrapText="1"/>
      <protection locked="0"/>
    </xf>
    <xf numFmtId="0" fontId="1" fillId="0" borderId="0" xfId="0" applyFont="1" applyAlignment="1">
      <alignment vertical="center" wrapText="1"/>
    </xf>
    <xf numFmtId="0" fontId="1" fillId="9" borderId="48" xfId="0" applyFont="1" applyFill="1" applyBorder="1" applyAlignment="1" applyProtection="1">
      <alignment horizontal="center" vertical="center" wrapText="1"/>
      <protection locked="0"/>
    </xf>
    <xf numFmtId="0" fontId="1" fillId="0" borderId="57" xfId="0" applyFont="1" applyBorder="1" applyAlignment="1" applyProtection="1">
      <alignment horizontal="center" vertical="center" wrapText="1"/>
      <protection locked="0"/>
    </xf>
    <xf numFmtId="0" fontId="1" fillId="0" borderId="25" xfId="0" applyFont="1" applyBorder="1" applyAlignment="1" applyProtection="1">
      <alignment horizontal="center" vertical="center" wrapText="1"/>
      <protection locked="0"/>
    </xf>
    <xf numFmtId="0" fontId="1" fillId="0" borderId="48" xfId="0" applyFont="1" applyBorder="1" applyAlignment="1">
      <alignment horizontal="center" vertical="center" wrapText="1"/>
    </xf>
    <xf numFmtId="165" fontId="1" fillId="0" borderId="13" xfId="0" applyNumberFormat="1" applyFont="1" applyBorder="1" applyAlignment="1" applyProtection="1">
      <alignment horizontal="center" vertical="center" wrapText="1"/>
      <protection locked="0"/>
    </xf>
    <xf numFmtId="0" fontId="30" fillId="0" borderId="3" xfId="0" applyFont="1" applyBorder="1" applyAlignment="1">
      <alignment vertical="center"/>
    </xf>
  </cellXfs>
  <cellStyles count="2">
    <cellStyle name="Normal" xfId="0" builtinId="0"/>
    <cellStyle name="Normal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7.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8.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9.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xdr:col>
      <xdr:colOff>1581150</xdr:colOff>
      <xdr:row>3</xdr:row>
      <xdr:rowOff>171450</xdr:rowOff>
    </xdr:from>
    <xdr:to>
      <xdr:col>3</xdr:col>
      <xdr:colOff>590550</xdr:colOff>
      <xdr:row>5</xdr:row>
      <xdr:rowOff>28575</xdr:rowOff>
    </xdr:to>
    <xdr:pic>
      <xdr:nvPicPr>
        <xdr:cNvPr id="5493" name="Picture 2">
          <a:extLst>
            <a:ext uri="{FF2B5EF4-FFF2-40B4-BE49-F238E27FC236}">
              <a16:creationId xmlns:a16="http://schemas.microsoft.com/office/drawing/2014/main" id="{00000000-0008-0000-0000-0000751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09800" y="695325"/>
          <a:ext cx="2019300"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457200</xdr:colOff>
      <xdr:row>0</xdr:row>
      <xdr:rowOff>0</xdr:rowOff>
    </xdr:from>
    <xdr:to>
      <xdr:col>4</xdr:col>
      <xdr:colOff>257175</xdr:colOff>
      <xdr:row>0</xdr:row>
      <xdr:rowOff>0</xdr:rowOff>
    </xdr:to>
    <xdr:sp macro="" textlink="">
      <xdr:nvSpPr>
        <xdr:cNvPr id="13957" name="AutoShape 1">
          <a:extLst>
            <a:ext uri="{FF2B5EF4-FFF2-40B4-BE49-F238E27FC236}">
              <a16:creationId xmlns:a16="http://schemas.microsoft.com/office/drawing/2014/main" id="{00000000-0008-0000-0200-000085360000}"/>
            </a:ext>
          </a:extLst>
        </xdr:cNvPr>
        <xdr:cNvSpPr>
          <a:spLocks noChangeArrowheads="1"/>
        </xdr:cNvSpPr>
      </xdr:nvSpPr>
      <xdr:spPr bwMode="auto">
        <a:xfrm>
          <a:off x="3219450" y="0"/>
          <a:ext cx="0" cy="0"/>
        </a:xfrm>
        <a:prstGeom prst="downArrow">
          <a:avLst>
            <a:gd name="adj1" fmla="val 50000"/>
            <a:gd name="adj2" fmla="val -2147483648"/>
          </a:avLst>
        </a:prstGeom>
        <a:solidFill>
          <a:srgbClr val="FFFFFF"/>
        </a:solidFill>
        <a:ln w="9525">
          <a:solidFill>
            <a:srgbClr val="000000"/>
          </a:solidFill>
          <a:miter lim="800000"/>
          <a:headEnd/>
          <a:tailEnd/>
        </a:ln>
      </xdr:spPr>
    </xdr:sp>
    <xdr:clientData/>
  </xdr:twoCellAnchor>
  <xdr:twoCellAnchor>
    <xdr:from>
      <xdr:col>5</xdr:col>
      <xdr:colOff>457200</xdr:colOff>
      <xdr:row>0</xdr:row>
      <xdr:rowOff>0</xdr:rowOff>
    </xdr:from>
    <xdr:to>
      <xdr:col>5</xdr:col>
      <xdr:colOff>276225</xdr:colOff>
      <xdr:row>0</xdr:row>
      <xdr:rowOff>0</xdr:rowOff>
    </xdr:to>
    <xdr:sp macro="" textlink="">
      <xdr:nvSpPr>
        <xdr:cNvPr id="13958" name="AutoShape 2">
          <a:extLst>
            <a:ext uri="{FF2B5EF4-FFF2-40B4-BE49-F238E27FC236}">
              <a16:creationId xmlns:a16="http://schemas.microsoft.com/office/drawing/2014/main" id="{00000000-0008-0000-0200-000086360000}"/>
            </a:ext>
          </a:extLst>
        </xdr:cNvPr>
        <xdr:cNvSpPr>
          <a:spLocks noChangeArrowheads="1"/>
        </xdr:cNvSpPr>
      </xdr:nvSpPr>
      <xdr:spPr bwMode="auto">
        <a:xfrm>
          <a:off x="3495675" y="0"/>
          <a:ext cx="0" cy="0"/>
        </a:xfrm>
        <a:prstGeom prst="downArrow">
          <a:avLst>
            <a:gd name="adj1" fmla="val 50000"/>
            <a:gd name="adj2" fmla="val -2147483648"/>
          </a:avLst>
        </a:prstGeom>
        <a:solidFill>
          <a:srgbClr val="FFFFFF"/>
        </a:solidFill>
        <a:ln w="9525">
          <a:solidFill>
            <a:srgbClr val="000000"/>
          </a:solidFill>
          <a:miter lim="800000"/>
          <a:headEnd/>
          <a:tailEnd/>
        </a:ln>
      </xdr:spPr>
    </xdr:sp>
    <xdr:clientData/>
  </xdr:twoCellAnchor>
  <xdr:twoCellAnchor>
    <xdr:from>
      <xdr:col>6</xdr:col>
      <xdr:colOff>457200</xdr:colOff>
      <xdr:row>0</xdr:row>
      <xdr:rowOff>0</xdr:rowOff>
    </xdr:from>
    <xdr:to>
      <xdr:col>6</xdr:col>
      <xdr:colOff>276225</xdr:colOff>
      <xdr:row>0</xdr:row>
      <xdr:rowOff>0</xdr:rowOff>
    </xdr:to>
    <xdr:sp macro="" textlink="">
      <xdr:nvSpPr>
        <xdr:cNvPr id="13959" name="AutoShape 3">
          <a:extLst>
            <a:ext uri="{FF2B5EF4-FFF2-40B4-BE49-F238E27FC236}">
              <a16:creationId xmlns:a16="http://schemas.microsoft.com/office/drawing/2014/main" id="{00000000-0008-0000-0200-000087360000}"/>
            </a:ext>
          </a:extLst>
        </xdr:cNvPr>
        <xdr:cNvSpPr>
          <a:spLocks noChangeArrowheads="1"/>
        </xdr:cNvSpPr>
      </xdr:nvSpPr>
      <xdr:spPr bwMode="auto">
        <a:xfrm>
          <a:off x="3771900" y="0"/>
          <a:ext cx="0" cy="0"/>
        </a:xfrm>
        <a:prstGeom prst="downArrow">
          <a:avLst>
            <a:gd name="adj1" fmla="val 50000"/>
            <a:gd name="adj2" fmla="val -2147483648"/>
          </a:avLst>
        </a:prstGeom>
        <a:solidFill>
          <a:srgbClr val="FFFFFF"/>
        </a:solidFill>
        <a:ln w="9525">
          <a:solidFill>
            <a:srgbClr val="000000"/>
          </a:solidFill>
          <a:miter lim="800000"/>
          <a:headEnd/>
          <a:tailEnd/>
        </a:ln>
      </xdr:spPr>
    </xdr:sp>
    <xdr:clientData/>
  </xdr:twoCellAnchor>
  <xdr:twoCellAnchor>
    <xdr:from>
      <xdr:col>7</xdr:col>
      <xdr:colOff>457200</xdr:colOff>
      <xdr:row>0</xdr:row>
      <xdr:rowOff>0</xdr:rowOff>
    </xdr:from>
    <xdr:to>
      <xdr:col>7</xdr:col>
      <xdr:colOff>276225</xdr:colOff>
      <xdr:row>0</xdr:row>
      <xdr:rowOff>0</xdr:rowOff>
    </xdr:to>
    <xdr:sp macro="" textlink="">
      <xdr:nvSpPr>
        <xdr:cNvPr id="13960" name="AutoShape 4">
          <a:extLst>
            <a:ext uri="{FF2B5EF4-FFF2-40B4-BE49-F238E27FC236}">
              <a16:creationId xmlns:a16="http://schemas.microsoft.com/office/drawing/2014/main" id="{00000000-0008-0000-0200-000088360000}"/>
            </a:ext>
          </a:extLst>
        </xdr:cNvPr>
        <xdr:cNvSpPr>
          <a:spLocks noChangeArrowheads="1"/>
        </xdr:cNvSpPr>
      </xdr:nvSpPr>
      <xdr:spPr bwMode="auto">
        <a:xfrm>
          <a:off x="4048125" y="0"/>
          <a:ext cx="0" cy="0"/>
        </a:xfrm>
        <a:prstGeom prst="downArrow">
          <a:avLst>
            <a:gd name="adj1" fmla="val 50000"/>
            <a:gd name="adj2" fmla="val -2147483648"/>
          </a:avLst>
        </a:prstGeom>
        <a:solidFill>
          <a:srgbClr val="FFFFFF"/>
        </a:solidFill>
        <a:ln w="9525">
          <a:solidFill>
            <a:srgbClr val="000000"/>
          </a:solidFill>
          <a:miter lim="800000"/>
          <a:headEnd/>
          <a:tailEnd/>
        </a:ln>
      </xdr:spPr>
    </xdr:sp>
    <xdr:clientData/>
  </xdr:twoCellAnchor>
  <xdr:twoCellAnchor>
    <xdr:from>
      <xdr:col>11</xdr:col>
      <xdr:colOff>457200</xdr:colOff>
      <xdr:row>0</xdr:row>
      <xdr:rowOff>0</xdr:rowOff>
    </xdr:from>
    <xdr:to>
      <xdr:col>11</xdr:col>
      <xdr:colOff>266700</xdr:colOff>
      <xdr:row>0</xdr:row>
      <xdr:rowOff>0</xdr:rowOff>
    </xdr:to>
    <xdr:sp macro="" textlink="">
      <xdr:nvSpPr>
        <xdr:cNvPr id="13961" name="AutoShape 5">
          <a:extLst>
            <a:ext uri="{FF2B5EF4-FFF2-40B4-BE49-F238E27FC236}">
              <a16:creationId xmlns:a16="http://schemas.microsoft.com/office/drawing/2014/main" id="{00000000-0008-0000-0200-000089360000}"/>
            </a:ext>
          </a:extLst>
        </xdr:cNvPr>
        <xdr:cNvSpPr>
          <a:spLocks noChangeArrowheads="1"/>
        </xdr:cNvSpPr>
      </xdr:nvSpPr>
      <xdr:spPr bwMode="auto">
        <a:xfrm>
          <a:off x="5143500" y="0"/>
          <a:ext cx="0" cy="0"/>
        </a:xfrm>
        <a:prstGeom prst="downArrow">
          <a:avLst>
            <a:gd name="adj1" fmla="val 50000"/>
            <a:gd name="adj2" fmla="val -2147483648"/>
          </a:avLst>
        </a:prstGeom>
        <a:solidFill>
          <a:srgbClr val="FFFFFF"/>
        </a:solidFill>
        <a:ln w="9525">
          <a:solidFill>
            <a:srgbClr val="000000"/>
          </a:solidFill>
          <a:miter lim="800000"/>
          <a:headEnd/>
          <a:tailEnd/>
        </a:ln>
      </xdr:spPr>
    </xdr:sp>
    <xdr:clientData/>
  </xdr:twoCellAnchor>
  <xdr:twoCellAnchor>
    <xdr:from>
      <xdr:col>4</xdr:col>
      <xdr:colOff>457200</xdr:colOff>
      <xdr:row>2</xdr:row>
      <xdr:rowOff>0</xdr:rowOff>
    </xdr:from>
    <xdr:to>
      <xdr:col>4</xdr:col>
      <xdr:colOff>257175</xdr:colOff>
      <xdr:row>2</xdr:row>
      <xdr:rowOff>0</xdr:rowOff>
    </xdr:to>
    <xdr:sp macro="" textlink="">
      <xdr:nvSpPr>
        <xdr:cNvPr id="13962" name="AutoShape 6">
          <a:extLst>
            <a:ext uri="{FF2B5EF4-FFF2-40B4-BE49-F238E27FC236}">
              <a16:creationId xmlns:a16="http://schemas.microsoft.com/office/drawing/2014/main" id="{00000000-0008-0000-0200-00008A360000}"/>
            </a:ext>
          </a:extLst>
        </xdr:cNvPr>
        <xdr:cNvSpPr>
          <a:spLocks noChangeArrowheads="1"/>
        </xdr:cNvSpPr>
      </xdr:nvSpPr>
      <xdr:spPr bwMode="auto">
        <a:xfrm>
          <a:off x="3219450" y="1276350"/>
          <a:ext cx="0" cy="0"/>
        </a:xfrm>
        <a:prstGeom prst="downArrow">
          <a:avLst>
            <a:gd name="adj1" fmla="val 50000"/>
            <a:gd name="adj2" fmla="val -2147483648"/>
          </a:avLst>
        </a:prstGeom>
        <a:solidFill>
          <a:srgbClr val="FFFFFF"/>
        </a:solidFill>
        <a:ln w="9525">
          <a:solidFill>
            <a:srgbClr val="000000"/>
          </a:solidFill>
          <a:miter lim="800000"/>
          <a:headEnd/>
          <a:tailEnd/>
        </a:ln>
      </xdr:spPr>
    </xdr:sp>
    <xdr:clientData/>
  </xdr:twoCellAnchor>
  <xdr:twoCellAnchor>
    <xdr:from>
      <xdr:col>5</xdr:col>
      <xdr:colOff>457200</xdr:colOff>
      <xdr:row>2</xdr:row>
      <xdr:rowOff>0</xdr:rowOff>
    </xdr:from>
    <xdr:to>
      <xdr:col>5</xdr:col>
      <xdr:colOff>276225</xdr:colOff>
      <xdr:row>2</xdr:row>
      <xdr:rowOff>0</xdr:rowOff>
    </xdr:to>
    <xdr:sp macro="" textlink="">
      <xdr:nvSpPr>
        <xdr:cNvPr id="13963" name="AutoShape 7">
          <a:extLst>
            <a:ext uri="{FF2B5EF4-FFF2-40B4-BE49-F238E27FC236}">
              <a16:creationId xmlns:a16="http://schemas.microsoft.com/office/drawing/2014/main" id="{00000000-0008-0000-0200-00008B360000}"/>
            </a:ext>
          </a:extLst>
        </xdr:cNvPr>
        <xdr:cNvSpPr>
          <a:spLocks noChangeArrowheads="1"/>
        </xdr:cNvSpPr>
      </xdr:nvSpPr>
      <xdr:spPr bwMode="auto">
        <a:xfrm>
          <a:off x="3495675" y="1276350"/>
          <a:ext cx="0" cy="0"/>
        </a:xfrm>
        <a:prstGeom prst="downArrow">
          <a:avLst>
            <a:gd name="adj1" fmla="val 50000"/>
            <a:gd name="adj2" fmla="val -2147483648"/>
          </a:avLst>
        </a:prstGeom>
        <a:solidFill>
          <a:srgbClr val="FFFFFF"/>
        </a:solidFill>
        <a:ln w="9525">
          <a:solidFill>
            <a:srgbClr val="000000"/>
          </a:solidFill>
          <a:miter lim="800000"/>
          <a:headEnd/>
          <a:tailEnd/>
        </a:ln>
      </xdr:spPr>
    </xdr:sp>
    <xdr:clientData/>
  </xdr:twoCellAnchor>
  <xdr:twoCellAnchor>
    <xdr:from>
      <xdr:col>6</xdr:col>
      <xdr:colOff>457200</xdr:colOff>
      <xdr:row>2</xdr:row>
      <xdr:rowOff>0</xdr:rowOff>
    </xdr:from>
    <xdr:to>
      <xdr:col>6</xdr:col>
      <xdr:colOff>276225</xdr:colOff>
      <xdr:row>2</xdr:row>
      <xdr:rowOff>0</xdr:rowOff>
    </xdr:to>
    <xdr:sp macro="" textlink="">
      <xdr:nvSpPr>
        <xdr:cNvPr id="13964" name="AutoShape 8">
          <a:extLst>
            <a:ext uri="{FF2B5EF4-FFF2-40B4-BE49-F238E27FC236}">
              <a16:creationId xmlns:a16="http://schemas.microsoft.com/office/drawing/2014/main" id="{00000000-0008-0000-0200-00008C360000}"/>
            </a:ext>
          </a:extLst>
        </xdr:cNvPr>
        <xdr:cNvSpPr>
          <a:spLocks noChangeArrowheads="1"/>
        </xdr:cNvSpPr>
      </xdr:nvSpPr>
      <xdr:spPr bwMode="auto">
        <a:xfrm>
          <a:off x="3771900" y="1276350"/>
          <a:ext cx="0" cy="0"/>
        </a:xfrm>
        <a:prstGeom prst="downArrow">
          <a:avLst>
            <a:gd name="adj1" fmla="val 50000"/>
            <a:gd name="adj2" fmla="val -2147483648"/>
          </a:avLst>
        </a:prstGeom>
        <a:solidFill>
          <a:srgbClr val="FFFFFF"/>
        </a:solidFill>
        <a:ln w="9525">
          <a:solidFill>
            <a:srgbClr val="000000"/>
          </a:solidFill>
          <a:miter lim="800000"/>
          <a:headEnd/>
          <a:tailEnd/>
        </a:ln>
      </xdr:spPr>
    </xdr:sp>
    <xdr:clientData/>
  </xdr:twoCellAnchor>
  <xdr:twoCellAnchor>
    <xdr:from>
      <xdr:col>7</xdr:col>
      <xdr:colOff>457200</xdr:colOff>
      <xdr:row>2</xdr:row>
      <xdr:rowOff>0</xdr:rowOff>
    </xdr:from>
    <xdr:to>
      <xdr:col>7</xdr:col>
      <xdr:colOff>276225</xdr:colOff>
      <xdr:row>2</xdr:row>
      <xdr:rowOff>0</xdr:rowOff>
    </xdr:to>
    <xdr:sp macro="" textlink="">
      <xdr:nvSpPr>
        <xdr:cNvPr id="13965" name="AutoShape 9">
          <a:extLst>
            <a:ext uri="{FF2B5EF4-FFF2-40B4-BE49-F238E27FC236}">
              <a16:creationId xmlns:a16="http://schemas.microsoft.com/office/drawing/2014/main" id="{00000000-0008-0000-0200-00008D360000}"/>
            </a:ext>
          </a:extLst>
        </xdr:cNvPr>
        <xdr:cNvSpPr>
          <a:spLocks noChangeArrowheads="1"/>
        </xdr:cNvSpPr>
      </xdr:nvSpPr>
      <xdr:spPr bwMode="auto">
        <a:xfrm>
          <a:off x="4048125" y="1276350"/>
          <a:ext cx="0" cy="0"/>
        </a:xfrm>
        <a:prstGeom prst="downArrow">
          <a:avLst>
            <a:gd name="adj1" fmla="val 50000"/>
            <a:gd name="adj2" fmla="val -2147483648"/>
          </a:avLst>
        </a:prstGeom>
        <a:solidFill>
          <a:srgbClr val="FFFFFF"/>
        </a:solidFill>
        <a:ln w="9525">
          <a:solidFill>
            <a:srgbClr val="000000"/>
          </a:solidFill>
          <a:miter lim="800000"/>
          <a:headEnd/>
          <a:tailEnd/>
        </a:ln>
      </xdr:spPr>
    </xdr:sp>
    <xdr:clientData/>
  </xdr:twoCellAnchor>
  <xdr:twoCellAnchor>
    <xdr:from>
      <xdr:col>11</xdr:col>
      <xdr:colOff>457200</xdr:colOff>
      <xdr:row>2</xdr:row>
      <xdr:rowOff>0</xdr:rowOff>
    </xdr:from>
    <xdr:to>
      <xdr:col>11</xdr:col>
      <xdr:colOff>266700</xdr:colOff>
      <xdr:row>2</xdr:row>
      <xdr:rowOff>0</xdr:rowOff>
    </xdr:to>
    <xdr:sp macro="" textlink="">
      <xdr:nvSpPr>
        <xdr:cNvPr id="13966" name="AutoShape 10">
          <a:extLst>
            <a:ext uri="{FF2B5EF4-FFF2-40B4-BE49-F238E27FC236}">
              <a16:creationId xmlns:a16="http://schemas.microsoft.com/office/drawing/2014/main" id="{00000000-0008-0000-0200-00008E360000}"/>
            </a:ext>
          </a:extLst>
        </xdr:cNvPr>
        <xdr:cNvSpPr>
          <a:spLocks noChangeArrowheads="1"/>
        </xdr:cNvSpPr>
      </xdr:nvSpPr>
      <xdr:spPr bwMode="auto">
        <a:xfrm>
          <a:off x="5143500" y="1276350"/>
          <a:ext cx="0" cy="0"/>
        </a:xfrm>
        <a:prstGeom prst="downArrow">
          <a:avLst>
            <a:gd name="adj1" fmla="val 50000"/>
            <a:gd name="adj2" fmla="val -2147483648"/>
          </a:avLst>
        </a:prstGeom>
        <a:solidFill>
          <a:srgbClr val="FFFFFF"/>
        </a:solidFill>
        <a:ln w="9525">
          <a:solidFill>
            <a:srgbClr val="000000"/>
          </a:solidFill>
          <a:miter lim="800000"/>
          <a:headEnd/>
          <a:tailEnd/>
        </a:ln>
      </xdr:spPr>
    </xdr:sp>
    <xdr:clientData/>
  </xdr:twoCellAnchor>
  <xdr:twoCellAnchor>
    <xdr:from>
      <xdr:col>6</xdr:col>
      <xdr:colOff>142875</xdr:colOff>
      <xdr:row>12</xdr:row>
      <xdr:rowOff>104775</xdr:rowOff>
    </xdr:from>
    <xdr:to>
      <xdr:col>6</xdr:col>
      <xdr:colOff>342900</xdr:colOff>
      <xdr:row>13</xdr:row>
      <xdr:rowOff>161925</xdr:rowOff>
    </xdr:to>
    <xdr:sp macro="" textlink="">
      <xdr:nvSpPr>
        <xdr:cNvPr id="13967" name="AutoShape 11">
          <a:extLst>
            <a:ext uri="{FF2B5EF4-FFF2-40B4-BE49-F238E27FC236}">
              <a16:creationId xmlns:a16="http://schemas.microsoft.com/office/drawing/2014/main" id="{00000000-0008-0000-0200-00008F360000}"/>
            </a:ext>
          </a:extLst>
        </xdr:cNvPr>
        <xdr:cNvSpPr>
          <a:spLocks noChangeArrowheads="1"/>
        </xdr:cNvSpPr>
      </xdr:nvSpPr>
      <xdr:spPr bwMode="auto">
        <a:xfrm>
          <a:off x="3638550" y="3286125"/>
          <a:ext cx="133350" cy="219075"/>
        </a:xfrm>
        <a:prstGeom prst="downArrow">
          <a:avLst>
            <a:gd name="adj1" fmla="val 50000"/>
            <a:gd name="adj2" fmla="val 41071"/>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95250</xdr:colOff>
          <xdr:row>0</xdr:row>
          <xdr:rowOff>0</xdr:rowOff>
        </xdr:from>
        <xdr:to>
          <xdr:col>0</xdr:col>
          <xdr:colOff>247650</xdr:colOff>
          <xdr:row>0</xdr:row>
          <xdr:rowOff>28575</xdr:rowOff>
        </xdr:to>
        <xdr:sp macro="" textlink="">
          <xdr:nvSpPr>
            <xdr:cNvPr id="3210" name="Delete_results" hidden="1">
              <a:extLst>
                <a:ext uri="{63B3BB69-23CF-44E3-9099-C40C66FF867C}">
                  <a14:compatExt spid="_x0000_s3210"/>
                </a:ext>
                <a:ext uri="{FF2B5EF4-FFF2-40B4-BE49-F238E27FC236}">
                  <a16:creationId xmlns:a16="http://schemas.microsoft.com/office/drawing/2014/main" id="{00000000-0008-0000-0300-00008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4.emf"/><Relationship Id="rId5" Type="http://schemas.openxmlformats.org/officeDocument/2006/relationships/control" Target="../activeX/activeX1.xml"/><Relationship Id="rId4" Type="http://schemas.openxmlformats.org/officeDocument/2006/relationships/vmlDrawing" Target="../drawings/vmlDrawing5.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L27"/>
  <sheetViews>
    <sheetView showGridLines="0" view="pageBreakPreview" zoomScaleNormal="75" zoomScaleSheetLayoutView="100" workbookViewId="0">
      <selection activeCell="J15" sqref="J15"/>
    </sheetView>
  </sheetViews>
  <sheetFormatPr defaultRowHeight="12.75" x14ac:dyDescent="0.2"/>
  <cols>
    <col min="1" max="1" width="9.42578125" style="105" customWidth="1"/>
    <col min="2" max="2" width="25.140625" style="105" customWidth="1"/>
    <col min="3" max="3" width="20" style="105" customWidth="1"/>
    <col min="4" max="4" width="13.85546875" style="105" customWidth="1"/>
    <col min="5" max="5" width="8" style="105" customWidth="1"/>
    <col min="6" max="6" width="16.5703125" style="105" customWidth="1"/>
    <col min="7" max="7" width="11.7109375" style="105" customWidth="1"/>
    <col min="8" max="8" width="13.140625" style="105" customWidth="1"/>
    <col min="9" max="16384" width="9.140625" style="105"/>
  </cols>
  <sheetData>
    <row r="1" spans="1:12" ht="13.5" thickBot="1" x14ac:dyDescent="0.25">
      <c r="A1" s="104"/>
      <c r="B1" s="104"/>
      <c r="C1" s="104"/>
      <c r="D1" s="104"/>
      <c r="E1" s="104"/>
      <c r="F1" s="104"/>
      <c r="G1" s="104"/>
      <c r="H1" s="104"/>
    </row>
    <row r="2" spans="1:12" x14ac:dyDescent="0.2">
      <c r="A2" s="104"/>
      <c r="B2" s="106"/>
      <c r="C2" s="107"/>
      <c r="D2" s="107"/>
      <c r="E2" s="107"/>
      <c r="F2" s="108"/>
      <c r="G2" s="104"/>
      <c r="H2" s="3"/>
      <c r="I2" s="3"/>
      <c r="J2" s="109"/>
      <c r="K2" s="109"/>
      <c r="L2" s="109"/>
    </row>
    <row r="3" spans="1:12" ht="15" customHeight="1" x14ac:dyDescent="0.2">
      <c r="A3" s="104"/>
      <c r="B3" s="110"/>
      <c r="C3" s="3"/>
      <c r="D3" s="3"/>
      <c r="E3" s="3"/>
      <c r="F3" s="111"/>
      <c r="G3" s="104"/>
      <c r="H3" s="104"/>
    </row>
    <row r="4" spans="1:12" ht="15" customHeight="1" x14ac:dyDescent="0.2">
      <c r="A4" s="104"/>
      <c r="B4" s="112" t="s">
        <v>0</v>
      </c>
      <c r="C4" s="3"/>
      <c r="D4" s="3"/>
      <c r="E4" s="3"/>
      <c r="F4" s="113"/>
      <c r="G4" s="104"/>
      <c r="H4" s="104"/>
    </row>
    <row r="5" spans="1:12" ht="33" customHeight="1" x14ac:dyDescent="0.2">
      <c r="A5" s="104"/>
      <c r="B5" s="114" t="s">
        <v>1</v>
      </c>
      <c r="C5" s="194"/>
      <c r="D5" s="194"/>
      <c r="E5" s="3"/>
      <c r="F5" s="115"/>
      <c r="G5" s="104"/>
      <c r="H5" s="104"/>
    </row>
    <row r="6" spans="1:12" ht="15.75" x14ac:dyDescent="0.2">
      <c r="A6" s="104"/>
      <c r="B6" s="209" t="s">
        <v>280</v>
      </c>
      <c r="C6" s="210"/>
      <c r="D6" s="210"/>
      <c r="E6" s="210"/>
      <c r="F6" s="211"/>
      <c r="G6" s="104"/>
      <c r="H6" s="104"/>
    </row>
    <row r="7" spans="1:12" x14ac:dyDescent="0.2">
      <c r="A7" s="104"/>
      <c r="B7" s="114"/>
      <c r="C7" s="3"/>
      <c r="D7" s="3"/>
      <c r="E7" s="3"/>
      <c r="F7" s="115"/>
      <c r="G7" s="3"/>
      <c r="H7" s="3"/>
    </row>
    <row r="8" spans="1:12" x14ac:dyDescent="0.2">
      <c r="A8" s="104"/>
      <c r="B8" s="212">
        <f>IF(A16="","Ver1.0",MAX(A16:A123))</f>
        <v>1</v>
      </c>
      <c r="C8" s="213"/>
      <c r="D8" s="213"/>
      <c r="E8" s="213"/>
      <c r="F8" s="214"/>
      <c r="G8" s="104"/>
      <c r="H8" s="104"/>
    </row>
    <row r="9" spans="1:12" ht="15.75" customHeight="1" x14ac:dyDescent="0.2">
      <c r="A9" s="104"/>
      <c r="B9" s="4"/>
      <c r="C9" s="1"/>
      <c r="D9" s="1"/>
      <c r="E9" s="1"/>
      <c r="F9" s="5"/>
      <c r="G9" s="104"/>
      <c r="H9" s="104"/>
    </row>
    <row r="10" spans="1:12" ht="12.75" customHeight="1" x14ac:dyDescent="0.2">
      <c r="A10" s="104"/>
      <c r="B10" s="4"/>
      <c r="C10" s="1"/>
      <c r="D10" s="116"/>
      <c r="E10" s="199"/>
      <c r="F10" s="200"/>
      <c r="G10" s="104"/>
      <c r="H10" s="104"/>
    </row>
    <row r="11" spans="1:12" ht="13.5" thickBot="1" x14ac:dyDescent="0.25">
      <c r="A11" s="104"/>
      <c r="B11" s="117"/>
      <c r="C11" s="118"/>
      <c r="D11" s="118"/>
      <c r="E11" s="118"/>
      <c r="F11" s="103"/>
      <c r="G11" s="104"/>
      <c r="H11" s="104"/>
    </row>
    <row r="12" spans="1:12" x14ac:dyDescent="0.2">
      <c r="A12" s="2"/>
      <c r="B12" s="104"/>
      <c r="C12" s="104"/>
      <c r="D12" s="104"/>
      <c r="E12" s="104"/>
      <c r="F12" s="104"/>
      <c r="G12" s="2"/>
      <c r="H12" s="2"/>
    </row>
    <row r="13" spans="1:12" x14ac:dyDescent="0.2">
      <c r="A13" s="195" t="s">
        <v>35</v>
      </c>
      <c r="B13" s="196"/>
      <c r="C13" s="196"/>
      <c r="D13" s="104"/>
      <c r="E13" s="104"/>
      <c r="F13" s="104"/>
      <c r="G13" s="2"/>
      <c r="H13" s="104"/>
    </row>
    <row r="14" spans="1:12" ht="13.5" thickBot="1" x14ac:dyDescent="0.25">
      <c r="A14" s="104"/>
      <c r="B14" s="2"/>
      <c r="C14" s="2"/>
      <c r="D14" s="2"/>
      <c r="E14" s="2"/>
      <c r="F14" s="2"/>
      <c r="G14" s="104"/>
      <c r="H14" s="104"/>
    </row>
    <row r="15" spans="1:12" ht="51" x14ac:dyDescent="0.2">
      <c r="A15" s="23" t="s">
        <v>2</v>
      </c>
      <c r="B15" s="24" t="s">
        <v>3</v>
      </c>
      <c r="C15" s="24" t="s">
        <v>4</v>
      </c>
      <c r="D15" s="24" t="s">
        <v>37</v>
      </c>
      <c r="E15" s="24" t="s">
        <v>5</v>
      </c>
      <c r="F15" s="197" t="s">
        <v>36</v>
      </c>
      <c r="G15" s="198"/>
      <c r="H15" s="104"/>
    </row>
    <row r="16" spans="1:12" s="122" customFormat="1" ht="12.75" customHeight="1" thickBot="1" x14ac:dyDescent="0.25">
      <c r="A16" s="201">
        <v>1</v>
      </c>
      <c r="B16" s="203">
        <v>44182</v>
      </c>
      <c r="C16" s="159"/>
      <c r="D16" s="159" t="s">
        <v>403</v>
      </c>
      <c r="E16" s="120"/>
      <c r="F16" s="205"/>
      <c r="G16" s="206"/>
      <c r="H16" s="121"/>
    </row>
    <row r="17" spans="1:8" s="122" customFormat="1" ht="60.75" thickBot="1" x14ac:dyDescent="0.25">
      <c r="A17" s="202"/>
      <c r="B17" s="204"/>
      <c r="C17" s="191" t="s">
        <v>440</v>
      </c>
      <c r="D17" s="160"/>
      <c r="E17" s="123"/>
      <c r="F17" s="207"/>
      <c r="G17" s="208"/>
      <c r="H17" s="121"/>
    </row>
    <row r="18" spans="1:8" s="122" customFormat="1" x14ac:dyDescent="0.2">
      <c r="A18" s="124"/>
      <c r="B18" s="125"/>
      <c r="C18" s="126"/>
      <c r="D18" s="126"/>
      <c r="E18" s="126"/>
      <c r="F18" s="126"/>
      <c r="G18" s="127"/>
      <c r="H18" s="121"/>
    </row>
    <row r="19" spans="1:8" s="122" customFormat="1" x14ac:dyDescent="0.2">
      <c r="A19" s="201"/>
      <c r="B19" s="203"/>
      <c r="C19" s="120"/>
      <c r="D19" s="120"/>
      <c r="E19" s="120"/>
      <c r="F19" s="205"/>
      <c r="G19" s="206"/>
      <c r="H19" s="121"/>
    </row>
    <row r="20" spans="1:8" s="122" customFormat="1" x14ac:dyDescent="0.2">
      <c r="A20" s="202"/>
      <c r="B20" s="204"/>
      <c r="C20" s="123"/>
      <c r="D20" s="123"/>
      <c r="E20" s="123"/>
      <c r="F20" s="207"/>
      <c r="G20" s="208"/>
      <c r="H20" s="121"/>
    </row>
    <row r="21" spans="1:8" s="122" customFormat="1" x14ac:dyDescent="0.2">
      <c r="A21" s="124"/>
      <c r="B21" s="125"/>
      <c r="C21" s="126"/>
      <c r="D21" s="126"/>
      <c r="E21" s="126"/>
      <c r="F21" s="126"/>
      <c r="G21" s="127"/>
      <c r="H21" s="121"/>
    </row>
    <row r="22" spans="1:8" s="122" customFormat="1" x14ac:dyDescent="0.2">
      <c r="A22" s="201"/>
      <c r="B22" s="203"/>
      <c r="C22" s="120"/>
      <c r="D22" s="120"/>
      <c r="E22" s="120"/>
      <c r="F22" s="205"/>
      <c r="G22" s="206"/>
      <c r="H22" s="121"/>
    </row>
    <row r="23" spans="1:8" s="122" customFormat="1" ht="13.5" thickBot="1" x14ac:dyDescent="0.25">
      <c r="A23" s="217"/>
      <c r="B23" s="218"/>
      <c r="C23" s="128"/>
      <c r="D23" s="128"/>
      <c r="E23" s="128"/>
      <c r="F23" s="219"/>
      <c r="G23" s="220"/>
      <c r="H23" s="121"/>
    </row>
    <row r="24" spans="1:8" x14ac:dyDescent="0.2">
      <c r="A24" s="3"/>
      <c r="B24" s="3"/>
      <c r="C24" s="3"/>
      <c r="D24" s="3"/>
      <c r="E24" s="3"/>
      <c r="F24" s="3"/>
      <c r="G24" s="3"/>
      <c r="H24" s="104"/>
    </row>
    <row r="25" spans="1:8" x14ac:dyDescent="0.2">
      <c r="A25" s="3"/>
      <c r="B25" s="3"/>
      <c r="C25" s="3"/>
      <c r="D25" s="3"/>
      <c r="E25" s="3"/>
      <c r="F25" s="3"/>
      <c r="G25" s="3"/>
      <c r="H25" s="104"/>
    </row>
    <row r="26" spans="1:8" x14ac:dyDescent="0.2">
      <c r="A26" s="215"/>
      <c r="B26" s="216"/>
      <c r="C26" s="216"/>
      <c r="D26" s="216"/>
      <c r="E26" s="216"/>
      <c r="F26" s="216"/>
      <c r="G26" s="216"/>
      <c r="H26" s="119"/>
    </row>
    <row r="27" spans="1:8" x14ac:dyDescent="0.2">
      <c r="A27" s="216"/>
      <c r="B27" s="216"/>
      <c r="C27" s="216"/>
      <c r="D27" s="216"/>
      <c r="E27" s="216"/>
      <c r="F27" s="216"/>
      <c r="G27" s="216"/>
    </row>
  </sheetData>
  <mergeCells count="16">
    <mergeCell ref="A26:G27"/>
    <mergeCell ref="A19:A20"/>
    <mergeCell ref="B19:B20"/>
    <mergeCell ref="F19:G20"/>
    <mergeCell ref="A22:A23"/>
    <mergeCell ref="B22:B23"/>
    <mergeCell ref="F22:G23"/>
    <mergeCell ref="C5:D5"/>
    <mergeCell ref="A13:C13"/>
    <mergeCell ref="F15:G15"/>
    <mergeCell ref="E10:F10"/>
    <mergeCell ref="A16:A17"/>
    <mergeCell ref="B16:B17"/>
    <mergeCell ref="F16:G17"/>
    <mergeCell ref="B6:F6"/>
    <mergeCell ref="B8:F8"/>
  </mergeCells>
  <phoneticPr fontId="0" type="noConversion"/>
  <pageMargins left="0.75" right="0.75" top="1" bottom="1" header="0.5" footer="0.5"/>
  <pageSetup scale="77" orientation="portrait" horizontalDpi="4294967292" verticalDpi="30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30"/>
  <sheetViews>
    <sheetView showGridLines="0" workbookViewId="0">
      <selection activeCell="C28" sqref="C28:G28"/>
    </sheetView>
  </sheetViews>
  <sheetFormatPr defaultRowHeight="12.75" x14ac:dyDescent="0.2"/>
  <cols>
    <col min="1" max="1" width="6.85546875" style="72" customWidth="1"/>
    <col min="2" max="2" width="22.28515625" style="72" customWidth="1"/>
    <col min="3" max="3" width="23.7109375" style="72" customWidth="1"/>
    <col min="4" max="4" width="25.5703125" style="72" customWidth="1"/>
    <col min="5" max="6" width="25.7109375" style="72" customWidth="1"/>
    <col min="7" max="7" width="23.7109375" style="72" customWidth="1"/>
    <col min="8" max="16384" width="9.140625" style="72"/>
  </cols>
  <sheetData>
    <row r="1" spans="1:7" ht="13.5" thickBot="1" x14ac:dyDescent="0.25">
      <c r="A1" s="255" t="s">
        <v>287</v>
      </c>
      <c r="B1" s="256"/>
      <c r="C1" s="256"/>
      <c r="D1" s="256"/>
      <c r="E1" s="256"/>
      <c r="F1" s="256"/>
      <c r="G1" s="257"/>
    </row>
    <row r="2" spans="1:7" ht="13.5" thickBot="1" x14ac:dyDescent="0.25">
      <c r="A2" s="236" t="s">
        <v>45</v>
      </c>
      <c r="B2" s="237"/>
      <c r="C2" s="137"/>
      <c r="D2" s="70" t="s">
        <v>7</v>
      </c>
      <c r="E2" s="238" t="s">
        <v>404</v>
      </c>
      <c r="F2" s="239"/>
      <c r="G2" s="240"/>
    </row>
    <row r="3" spans="1:7" ht="13.5" thickBot="1" x14ac:dyDescent="0.25">
      <c r="A3" s="241" t="s">
        <v>295</v>
      </c>
      <c r="B3" s="242"/>
      <c r="C3" s="242"/>
      <c r="D3" s="242"/>
      <c r="E3" s="242"/>
      <c r="F3" s="243"/>
      <c r="G3" s="244"/>
    </row>
    <row r="4" spans="1:7" x14ac:dyDescent="0.2">
      <c r="A4" s="38" t="s">
        <v>303</v>
      </c>
      <c r="B4" s="246" t="s">
        <v>296</v>
      </c>
      <c r="C4" s="247"/>
      <c r="D4" s="245" t="s">
        <v>297</v>
      </c>
      <c r="E4" s="245"/>
      <c r="F4" s="229" t="s">
        <v>304</v>
      </c>
      <c r="G4" s="230"/>
    </row>
    <row r="5" spans="1:7" x14ac:dyDescent="0.2">
      <c r="A5" s="96">
        <v>1</v>
      </c>
      <c r="B5" s="249" t="s">
        <v>405</v>
      </c>
      <c r="C5" s="250"/>
      <c r="D5" s="249" t="s">
        <v>406</v>
      </c>
      <c r="E5" s="250"/>
      <c r="F5" s="226">
        <v>1</v>
      </c>
      <c r="G5" s="227"/>
    </row>
    <row r="6" spans="1:7" x14ac:dyDescent="0.2">
      <c r="A6" s="97">
        <v>2</v>
      </c>
      <c r="B6" s="251"/>
      <c r="C6" s="250"/>
      <c r="D6" s="249"/>
      <c r="E6" s="250"/>
      <c r="F6" s="226"/>
      <c r="G6" s="227"/>
    </row>
    <row r="7" spans="1:7" x14ac:dyDescent="0.2">
      <c r="A7" s="75"/>
      <c r="B7" s="228"/>
      <c r="C7" s="252"/>
      <c r="D7" s="273"/>
      <c r="E7" s="252"/>
      <c r="F7" s="228"/>
      <c r="G7" s="227"/>
    </row>
    <row r="8" spans="1:7" ht="13.5" thickBot="1" x14ac:dyDescent="0.25">
      <c r="A8" s="76"/>
      <c r="B8" s="253"/>
      <c r="C8" s="254"/>
      <c r="D8" s="253"/>
      <c r="E8" s="254"/>
      <c r="F8" s="228"/>
      <c r="G8" s="227"/>
    </row>
    <row r="9" spans="1:7" ht="13.5" thickBot="1" x14ac:dyDescent="0.25">
      <c r="A9" s="222" t="s">
        <v>298</v>
      </c>
      <c r="B9" s="223"/>
      <c r="C9" s="223"/>
      <c r="D9" s="223"/>
      <c r="E9" s="223"/>
      <c r="F9" s="224"/>
      <c r="G9" s="225"/>
    </row>
    <row r="10" spans="1:7" x14ac:dyDescent="0.2">
      <c r="A10" s="39" t="s">
        <v>303</v>
      </c>
      <c r="B10" s="232" t="s">
        <v>299</v>
      </c>
      <c r="C10" s="232"/>
      <c r="D10" s="232"/>
      <c r="E10" s="71" t="s">
        <v>300</v>
      </c>
      <c r="F10" s="229" t="s">
        <v>301</v>
      </c>
      <c r="G10" s="230"/>
    </row>
    <row r="11" spans="1:7" x14ac:dyDescent="0.2">
      <c r="A11" s="75">
        <v>1</v>
      </c>
      <c r="B11" s="233" t="s">
        <v>407</v>
      </c>
      <c r="C11" s="221"/>
      <c r="D11" s="221"/>
      <c r="E11" s="153" t="s">
        <v>408</v>
      </c>
      <c r="F11" s="226"/>
      <c r="G11" s="227"/>
    </row>
    <row r="12" spans="1:7" x14ac:dyDescent="0.2">
      <c r="A12" s="75"/>
      <c r="B12" s="233"/>
      <c r="C12" s="221"/>
      <c r="D12" s="221"/>
      <c r="E12" s="153"/>
      <c r="F12" s="226"/>
      <c r="G12" s="227"/>
    </row>
    <row r="13" spans="1:7" x14ac:dyDescent="0.2">
      <c r="A13" s="75"/>
      <c r="B13" s="221"/>
      <c r="C13" s="221"/>
      <c r="D13" s="221"/>
      <c r="E13" s="77"/>
      <c r="F13" s="228"/>
      <c r="G13" s="227"/>
    </row>
    <row r="14" spans="1:7" ht="13.5" thickBot="1" x14ac:dyDescent="0.25">
      <c r="A14" s="76"/>
      <c r="B14" s="266"/>
      <c r="C14" s="266"/>
      <c r="D14" s="266"/>
      <c r="E14" s="78"/>
      <c r="F14" s="228"/>
      <c r="G14" s="227"/>
    </row>
    <row r="15" spans="1:7" ht="13.5" thickBot="1" x14ac:dyDescent="0.25">
      <c r="A15" s="222" t="s">
        <v>302</v>
      </c>
      <c r="B15" s="223"/>
      <c r="C15" s="223"/>
      <c r="D15" s="223"/>
      <c r="E15" s="223"/>
      <c r="F15" s="224"/>
      <c r="G15" s="225"/>
    </row>
    <row r="16" spans="1:7" x14ac:dyDescent="0.2">
      <c r="A16" s="39" t="s">
        <v>303</v>
      </c>
      <c r="B16" s="229" t="s">
        <v>307</v>
      </c>
      <c r="C16" s="277"/>
      <c r="D16" s="277"/>
      <c r="E16" s="231"/>
      <c r="F16" s="229" t="s">
        <v>300</v>
      </c>
      <c r="G16" s="231"/>
    </row>
    <row r="17" spans="1:7" x14ac:dyDescent="0.2">
      <c r="A17" s="75">
        <v>1</v>
      </c>
      <c r="B17" s="226" t="s">
        <v>388</v>
      </c>
      <c r="C17" s="278"/>
      <c r="D17" s="278"/>
      <c r="E17" s="279"/>
      <c r="F17" s="228" t="s">
        <v>409</v>
      </c>
      <c r="G17" s="227"/>
    </row>
    <row r="18" spans="1:7" x14ac:dyDescent="0.2">
      <c r="A18" s="75">
        <v>2</v>
      </c>
      <c r="B18" s="226" t="s">
        <v>389</v>
      </c>
      <c r="C18" s="270"/>
      <c r="D18" s="270"/>
      <c r="E18" s="252"/>
      <c r="F18" s="226" t="s">
        <v>410</v>
      </c>
      <c r="G18" s="287"/>
    </row>
    <row r="19" spans="1:7" ht="15" customHeight="1" x14ac:dyDescent="0.2">
      <c r="A19" s="75">
        <v>3</v>
      </c>
      <c r="B19" s="226" t="s">
        <v>390</v>
      </c>
      <c r="C19" s="280"/>
      <c r="D19" s="280"/>
      <c r="E19" s="281"/>
      <c r="F19" s="226" t="s">
        <v>412</v>
      </c>
      <c r="G19" s="227"/>
    </row>
    <row r="20" spans="1:7" ht="13.5" thickBot="1" x14ac:dyDescent="0.25">
      <c r="A20" s="75">
        <v>4</v>
      </c>
      <c r="B20" s="226" t="s">
        <v>411</v>
      </c>
      <c r="C20" s="270"/>
      <c r="D20" s="270"/>
      <c r="E20" s="252"/>
      <c r="F20" s="226" t="s">
        <v>413</v>
      </c>
      <c r="G20" s="227"/>
    </row>
    <row r="21" spans="1:7" ht="13.5" thickBot="1" x14ac:dyDescent="0.25">
      <c r="A21" s="284" t="s">
        <v>305</v>
      </c>
      <c r="B21" s="285"/>
      <c r="C21" s="285"/>
      <c r="D21" s="285"/>
      <c r="E21" s="285"/>
      <c r="F21" s="285"/>
      <c r="G21" s="286"/>
    </row>
    <row r="22" spans="1:7" x14ac:dyDescent="0.2">
      <c r="A22" s="248" t="s">
        <v>288</v>
      </c>
      <c r="B22" s="231"/>
      <c r="C22" s="82" t="s">
        <v>289</v>
      </c>
      <c r="D22" s="83" t="s">
        <v>290</v>
      </c>
      <c r="E22" s="83" t="s">
        <v>291</v>
      </c>
      <c r="F22" s="80" t="s">
        <v>306</v>
      </c>
      <c r="G22" s="80" t="s">
        <v>69</v>
      </c>
    </row>
    <row r="23" spans="1:7" x14ac:dyDescent="0.2">
      <c r="A23" s="264" t="s">
        <v>292</v>
      </c>
      <c r="B23" s="265"/>
      <c r="C23" s="186" t="s">
        <v>392</v>
      </c>
      <c r="D23" s="186" t="s">
        <v>377</v>
      </c>
      <c r="E23" s="186" t="s">
        <v>377</v>
      </c>
      <c r="F23" s="73" t="s">
        <v>377</v>
      </c>
      <c r="G23" s="79" t="s">
        <v>377</v>
      </c>
    </row>
    <row r="24" spans="1:7" x14ac:dyDescent="0.2">
      <c r="A24" s="234" t="s">
        <v>293</v>
      </c>
      <c r="B24" s="235"/>
      <c r="C24" s="187" t="s">
        <v>392</v>
      </c>
      <c r="D24" s="187" t="s">
        <v>377</v>
      </c>
      <c r="E24" s="187" t="s">
        <v>377</v>
      </c>
      <c r="F24" s="73" t="s">
        <v>377</v>
      </c>
      <c r="G24" s="188" t="s">
        <v>377</v>
      </c>
    </row>
    <row r="25" spans="1:7" x14ac:dyDescent="0.2">
      <c r="A25" s="234" t="s">
        <v>324</v>
      </c>
      <c r="B25" s="235"/>
      <c r="C25" s="187" t="s">
        <v>392</v>
      </c>
      <c r="D25" s="187" t="s">
        <v>377</v>
      </c>
      <c r="E25" s="187" t="s">
        <v>377</v>
      </c>
      <c r="F25" s="185" t="s">
        <v>377</v>
      </c>
      <c r="G25" s="74" t="s">
        <v>377</v>
      </c>
    </row>
    <row r="26" spans="1:7" x14ac:dyDescent="0.2">
      <c r="A26" s="234" t="s">
        <v>325</v>
      </c>
      <c r="B26" s="235"/>
      <c r="C26" s="187" t="s">
        <v>392</v>
      </c>
      <c r="D26" s="187" t="s">
        <v>377</v>
      </c>
      <c r="E26" s="187" t="s">
        <v>377</v>
      </c>
      <c r="F26" s="189" t="s">
        <v>377</v>
      </c>
      <c r="G26" s="81" t="s">
        <v>377</v>
      </c>
    </row>
    <row r="27" spans="1:7" x14ac:dyDescent="0.2">
      <c r="A27" s="234" t="s">
        <v>308</v>
      </c>
      <c r="B27" s="235"/>
      <c r="C27" s="267" t="str">
        <f>'SystemTest Plan &amp; Test Results'!M3</f>
        <v>NA as of now</v>
      </c>
      <c r="D27" s="268"/>
      <c r="E27" s="268"/>
      <c r="F27" s="268"/>
      <c r="G27" s="269"/>
    </row>
    <row r="28" spans="1:7" ht="49.5" customHeight="1" x14ac:dyDescent="0.2">
      <c r="A28" s="282" t="s">
        <v>30</v>
      </c>
      <c r="B28" s="283"/>
      <c r="C28" s="258"/>
      <c r="D28" s="259"/>
      <c r="E28" s="259"/>
      <c r="F28" s="259"/>
      <c r="G28" s="260"/>
    </row>
    <row r="29" spans="1:7" ht="45.75" customHeight="1" thickBot="1" x14ac:dyDescent="0.25">
      <c r="A29" s="271" t="s">
        <v>31</v>
      </c>
      <c r="B29" s="272"/>
      <c r="C29" s="261" t="s">
        <v>65</v>
      </c>
      <c r="D29" s="262"/>
      <c r="E29" s="262"/>
      <c r="F29" s="262"/>
      <c r="G29" s="263"/>
    </row>
    <row r="30" spans="1:7" ht="13.5" thickBot="1" x14ac:dyDescent="0.25">
      <c r="A30" s="274" t="s">
        <v>294</v>
      </c>
      <c r="B30" s="275"/>
      <c r="C30" s="275"/>
      <c r="D30" s="275"/>
      <c r="E30" s="275"/>
      <c r="F30" s="275"/>
      <c r="G30" s="276"/>
    </row>
  </sheetData>
  <sheetProtection insertColumns="0" insertRows="0"/>
  <mergeCells count="54">
    <mergeCell ref="A30:G30"/>
    <mergeCell ref="B16:E16"/>
    <mergeCell ref="B17:E17"/>
    <mergeCell ref="B18:E18"/>
    <mergeCell ref="B19:E19"/>
    <mergeCell ref="A28:B28"/>
    <mergeCell ref="A24:B24"/>
    <mergeCell ref="A21:G21"/>
    <mergeCell ref="F18:G18"/>
    <mergeCell ref="F19:G19"/>
    <mergeCell ref="A1:G1"/>
    <mergeCell ref="C28:G28"/>
    <mergeCell ref="C29:G29"/>
    <mergeCell ref="A27:B27"/>
    <mergeCell ref="A23:B23"/>
    <mergeCell ref="B14:D14"/>
    <mergeCell ref="A25:B25"/>
    <mergeCell ref="C27:G27"/>
    <mergeCell ref="B20:E20"/>
    <mergeCell ref="B12:D12"/>
    <mergeCell ref="A29:B29"/>
    <mergeCell ref="D5:E5"/>
    <mergeCell ref="D6:E6"/>
    <mergeCell ref="D7:E7"/>
    <mergeCell ref="D8:E8"/>
    <mergeCell ref="A9:G9"/>
    <mergeCell ref="B10:D10"/>
    <mergeCell ref="B11:D11"/>
    <mergeCell ref="A26:B26"/>
    <mergeCell ref="F20:G20"/>
    <mergeCell ref="A2:B2"/>
    <mergeCell ref="E2:G2"/>
    <mergeCell ref="A3:G3"/>
    <mergeCell ref="D4:E4"/>
    <mergeCell ref="B4:C4"/>
    <mergeCell ref="A22:B22"/>
    <mergeCell ref="B5:C5"/>
    <mergeCell ref="B6:C6"/>
    <mergeCell ref="B7:C7"/>
    <mergeCell ref="B8:C8"/>
    <mergeCell ref="F4:G4"/>
    <mergeCell ref="F5:G5"/>
    <mergeCell ref="F6:G6"/>
    <mergeCell ref="F7:G7"/>
    <mergeCell ref="F8:G8"/>
    <mergeCell ref="F10:G10"/>
    <mergeCell ref="F17:G17"/>
    <mergeCell ref="F16:G16"/>
    <mergeCell ref="B13:D13"/>
    <mergeCell ref="A15:G15"/>
    <mergeCell ref="F11:G11"/>
    <mergeCell ref="F12:G12"/>
    <mergeCell ref="F13:G13"/>
    <mergeCell ref="F14:G14"/>
  </mergeCell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V53"/>
  <sheetViews>
    <sheetView view="pageBreakPreview" zoomScaleNormal="75" zoomScaleSheetLayoutView="100" workbookViewId="0">
      <selection sqref="A1:L1"/>
    </sheetView>
  </sheetViews>
  <sheetFormatPr defaultRowHeight="12.75" x14ac:dyDescent="0.2"/>
  <cols>
    <col min="1" max="2" width="9.140625" style="7"/>
    <col min="3" max="3" width="9.7109375" style="7" bestFit="1" customWidth="1"/>
    <col min="4" max="4" width="16.42578125" style="7" customWidth="1"/>
    <col min="5" max="5" width="3.85546875" style="7" bestFit="1" customWidth="1"/>
    <col min="6" max="8" width="4.140625" style="7" bestFit="1" customWidth="1"/>
    <col min="9" max="11" width="4.140625" style="7" customWidth="1"/>
    <col min="12" max="12" width="4" style="7" bestFit="1" customWidth="1"/>
    <col min="13" max="16384" width="9.140625" style="7"/>
  </cols>
  <sheetData>
    <row r="1" spans="1:22" ht="18" customHeight="1" thickBot="1" x14ac:dyDescent="0.25">
      <c r="A1" s="308" t="s">
        <v>81</v>
      </c>
      <c r="B1" s="309"/>
      <c r="C1" s="310"/>
      <c r="D1" s="310"/>
      <c r="E1" s="310"/>
      <c r="F1" s="310"/>
      <c r="G1" s="310"/>
      <c r="H1" s="310"/>
      <c r="I1" s="311"/>
      <c r="J1" s="311"/>
      <c r="K1" s="311"/>
      <c r="L1" s="312"/>
      <c r="M1" s="6"/>
      <c r="N1" s="6"/>
      <c r="O1" s="6"/>
      <c r="P1" s="6"/>
      <c r="Q1" s="6"/>
      <c r="R1" s="6"/>
      <c r="S1" s="6"/>
      <c r="T1" s="6"/>
      <c r="U1" s="6"/>
      <c r="V1" s="6"/>
    </row>
    <row r="2" spans="1:22" s="14" customFormat="1" ht="82.5" customHeight="1" x14ac:dyDescent="0.2">
      <c r="A2" s="313" t="s">
        <v>190</v>
      </c>
      <c r="B2" s="314"/>
      <c r="C2" s="315"/>
      <c r="D2" s="316" t="s">
        <v>227</v>
      </c>
      <c r="E2" s="317"/>
      <c r="F2" s="317"/>
      <c r="G2" s="317"/>
      <c r="H2" s="317"/>
      <c r="I2" s="317"/>
      <c r="J2" s="317"/>
      <c r="K2" s="317"/>
      <c r="L2" s="318"/>
      <c r="M2" s="13"/>
      <c r="N2" s="13"/>
      <c r="O2" s="13"/>
      <c r="P2" s="13"/>
      <c r="Q2" s="13"/>
      <c r="R2" s="13"/>
      <c r="S2" s="13"/>
      <c r="T2" s="13"/>
      <c r="U2" s="13"/>
      <c r="V2" s="13"/>
    </row>
    <row r="3" spans="1:22" s="14" customFormat="1" ht="18" x14ac:dyDescent="0.2">
      <c r="A3" s="319" t="s">
        <v>226</v>
      </c>
      <c r="B3" s="320"/>
      <c r="C3" s="321"/>
      <c r="D3" s="321"/>
      <c r="E3" s="322" t="s">
        <v>200</v>
      </c>
      <c r="F3" s="322"/>
      <c r="G3" s="322"/>
      <c r="H3" s="322"/>
      <c r="I3" s="323"/>
      <c r="J3" s="323"/>
      <c r="K3" s="323"/>
      <c r="L3" s="324"/>
      <c r="M3" s="13"/>
      <c r="N3" s="13"/>
      <c r="O3" s="13"/>
      <c r="P3" s="13"/>
      <c r="Q3" s="13"/>
      <c r="R3" s="13"/>
      <c r="S3" s="13"/>
      <c r="T3" s="13"/>
      <c r="U3" s="13"/>
      <c r="V3" s="13"/>
    </row>
    <row r="4" spans="1:22" s="14" customFormat="1" ht="15" x14ac:dyDescent="0.2">
      <c r="A4" s="304" t="s">
        <v>32</v>
      </c>
      <c r="B4" s="25"/>
      <c r="C4" s="305" t="s">
        <v>80</v>
      </c>
      <c r="D4" s="307" t="s">
        <v>191</v>
      </c>
      <c r="E4" s="295" t="s">
        <v>192</v>
      </c>
      <c r="F4" s="296"/>
      <c r="G4" s="296"/>
      <c r="H4" s="296"/>
      <c r="I4" s="296"/>
      <c r="J4" s="296"/>
      <c r="K4" s="296"/>
      <c r="L4" s="297"/>
      <c r="M4" s="13"/>
      <c r="N4" s="13"/>
      <c r="O4" s="13"/>
      <c r="P4" s="13"/>
      <c r="Q4" s="13"/>
      <c r="R4" s="13"/>
      <c r="S4" s="13"/>
      <c r="T4" s="13"/>
      <c r="U4" s="13"/>
      <c r="V4" s="13"/>
    </row>
    <row r="5" spans="1:22" s="14" customFormat="1" ht="18.75" customHeight="1" x14ac:dyDescent="0.2">
      <c r="A5" s="304"/>
      <c r="B5" s="26"/>
      <c r="C5" s="306"/>
      <c r="D5" s="307"/>
      <c r="E5" s="27" t="s">
        <v>193</v>
      </c>
      <c r="F5" s="27" t="s">
        <v>194</v>
      </c>
      <c r="G5" s="27" t="s">
        <v>253</v>
      </c>
      <c r="H5" s="27" t="s">
        <v>254</v>
      </c>
      <c r="I5" s="27" t="s">
        <v>255</v>
      </c>
      <c r="J5" s="27" t="s">
        <v>256</v>
      </c>
      <c r="K5" s="27" t="s">
        <v>257</v>
      </c>
      <c r="L5" s="27" t="s">
        <v>258</v>
      </c>
      <c r="M5" s="13"/>
      <c r="N5" s="13"/>
      <c r="O5" s="13"/>
      <c r="P5" s="13"/>
      <c r="Q5" s="13"/>
      <c r="R5" s="13"/>
      <c r="S5" s="13"/>
      <c r="T5" s="13"/>
      <c r="U5" s="13"/>
      <c r="V5" s="13"/>
    </row>
    <row r="6" spans="1:22" s="14" customFormat="1" x14ac:dyDescent="0.2">
      <c r="A6" s="289" t="s">
        <v>228</v>
      </c>
      <c r="B6" s="15"/>
      <c r="C6" s="10"/>
      <c r="D6" s="11" t="s">
        <v>229</v>
      </c>
      <c r="E6" s="10"/>
      <c r="F6" s="10"/>
      <c r="G6" s="10"/>
      <c r="H6" s="10"/>
      <c r="I6" s="10"/>
      <c r="J6" s="10"/>
      <c r="K6" s="10"/>
      <c r="L6" s="10"/>
      <c r="M6" s="13"/>
      <c r="N6" s="13"/>
      <c r="O6" s="13"/>
      <c r="P6" s="13"/>
      <c r="Q6" s="13"/>
      <c r="R6" s="13"/>
      <c r="S6" s="13"/>
      <c r="T6" s="13"/>
      <c r="U6" s="13"/>
      <c r="V6" s="13"/>
    </row>
    <row r="7" spans="1:22" s="14" customFormat="1" x14ac:dyDescent="0.2">
      <c r="A7" s="290"/>
      <c r="B7" s="16"/>
      <c r="C7" s="10"/>
      <c r="D7" s="11" t="s">
        <v>230</v>
      </c>
      <c r="E7" s="10"/>
      <c r="F7" s="10"/>
      <c r="G7" s="10"/>
      <c r="H7" s="10"/>
      <c r="I7" s="10"/>
      <c r="J7" s="10"/>
      <c r="K7" s="10"/>
      <c r="L7" s="10"/>
      <c r="M7" s="13"/>
      <c r="N7" s="13"/>
      <c r="O7" s="13"/>
      <c r="P7" s="13"/>
      <c r="Q7" s="13"/>
      <c r="R7" s="13"/>
      <c r="S7" s="13"/>
      <c r="T7" s="13"/>
      <c r="U7" s="13"/>
      <c r="V7" s="13"/>
    </row>
    <row r="8" spans="1:22" s="14" customFormat="1" x14ac:dyDescent="0.2">
      <c r="A8" s="290"/>
      <c r="B8" s="16"/>
      <c r="C8" s="10"/>
      <c r="D8" s="11" t="s">
        <v>231</v>
      </c>
      <c r="E8" s="10"/>
      <c r="F8" s="10"/>
      <c r="G8" s="10"/>
      <c r="H8" s="10"/>
      <c r="I8" s="10"/>
      <c r="J8" s="10"/>
      <c r="K8" s="10"/>
      <c r="L8" s="10"/>
      <c r="M8" s="13"/>
      <c r="N8" s="13"/>
      <c r="O8" s="13"/>
      <c r="P8" s="13"/>
      <c r="Q8" s="13"/>
      <c r="R8" s="13"/>
      <c r="S8" s="13"/>
      <c r="T8" s="13"/>
      <c r="U8" s="13"/>
      <c r="V8" s="13"/>
    </row>
    <row r="9" spans="1:22" s="14" customFormat="1" ht="15" x14ac:dyDescent="0.2">
      <c r="A9" s="290"/>
      <c r="B9" s="16"/>
      <c r="C9" s="10">
        <v>1</v>
      </c>
      <c r="D9" s="11" t="s">
        <v>232</v>
      </c>
      <c r="E9" s="8"/>
      <c r="F9" s="8"/>
      <c r="G9" s="8"/>
      <c r="H9" s="8"/>
      <c r="I9" s="19"/>
      <c r="J9" s="19"/>
      <c r="K9" s="19"/>
      <c r="L9" s="9"/>
      <c r="M9" s="13"/>
      <c r="N9" s="13"/>
      <c r="O9" s="13"/>
      <c r="P9" s="13"/>
      <c r="Q9" s="13"/>
      <c r="R9" s="13"/>
      <c r="S9" s="13"/>
      <c r="T9" s="13"/>
      <c r="U9" s="13"/>
      <c r="V9" s="13"/>
    </row>
    <row r="10" spans="1:22" s="14" customFormat="1" ht="15" x14ac:dyDescent="0.2">
      <c r="A10" s="290"/>
      <c r="B10" s="16"/>
      <c r="C10" s="10">
        <v>2</v>
      </c>
      <c r="D10" s="11" t="s">
        <v>233</v>
      </c>
      <c r="E10" s="8"/>
      <c r="F10" s="8"/>
      <c r="G10" s="8"/>
      <c r="H10" s="8"/>
      <c r="I10" s="19"/>
      <c r="J10" s="19"/>
      <c r="K10" s="19"/>
      <c r="L10" s="9"/>
      <c r="M10" s="13"/>
      <c r="N10" s="13"/>
      <c r="O10" s="13"/>
      <c r="P10" s="13"/>
      <c r="Q10" s="31"/>
      <c r="R10" s="13"/>
      <c r="S10" s="13"/>
      <c r="T10" s="13"/>
      <c r="U10" s="13"/>
      <c r="V10" s="13"/>
    </row>
    <row r="11" spans="1:22" s="14" customFormat="1" ht="15" x14ac:dyDescent="0.2">
      <c r="A11" s="290"/>
      <c r="B11" s="16"/>
      <c r="C11" s="10"/>
      <c r="D11" s="11" t="s">
        <v>234</v>
      </c>
      <c r="E11" s="8"/>
      <c r="F11" s="8"/>
      <c r="G11" s="8"/>
      <c r="H11" s="8"/>
      <c r="I11" s="19"/>
      <c r="J11" s="19"/>
      <c r="K11" s="19"/>
      <c r="L11" s="9"/>
      <c r="M11" s="13"/>
      <c r="N11" s="13"/>
      <c r="O11" s="13"/>
      <c r="P11" s="13"/>
      <c r="Q11" s="13"/>
      <c r="R11" s="13"/>
      <c r="S11" s="13"/>
      <c r="T11" s="13"/>
      <c r="U11" s="13"/>
      <c r="V11" s="13"/>
    </row>
    <row r="12" spans="1:22" s="14" customFormat="1" ht="15" x14ac:dyDescent="0.2">
      <c r="A12" s="290"/>
      <c r="B12" s="16"/>
      <c r="C12" s="18">
        <v>3</v>
      </c>
      <c r="D12" s="14" t="s">
        <v>235</v>
      </c>
      <c r="E12" s="8" t="s">
        <v>236</v>
      </c>
      <c r="F12" s="8" t="s">
        <v>236</v>
      </c>
      <c r="G12" s="8" t="s">
        <v>236</v>
      </c>
      <c r="H12" s="8" t="s">
        <v>236</v>
      </c>
      <c r="I12" s="19" t="s">
        <v>236</v>
      </c>
      <c r="J12" s="19" t="s">
        <v>236</v>
      </c>
      <c r="K12" s="19" t="s">
        <v>236</v>
      </c>
      <c r="L12" s="9" t="s">
        <v>236</v>
      </c>
      <c r="M12" s="13"/>
      <c r="N12" s="13"/>
      <c r="O12" s="13"/>
      <c r="P12" s="13"/>
      <c r="Q12" s="13"/>
      <c r="R12" s="13"/>
      <c r="S12" s="13"/>
      <c r="T12" s="13"/>
      <c r="U12" s="13"/>
      <c r="V12" s="13"/>
    </row>
    <row r="13" spans="1:22" s="14" customFormat="1" ht="12.75" customHeight="1" x14ac:dyDescent="0.2">
      <c r="A13" s="290"/>
      <c r="B13" s="16"/>
      <c r="C13" s="288" t="s">
        <v>196</v>
      </c>
      <c r="D13" s="288"/>
      <c r="E13" s="298"/>
      <c r="F13" s="299"/>
      <c r="G13" s="299"/>
      <c r="H13" s="299"/>
      <c r="I13" s="299"/>
      <c r="J13" s="299"/>
      <c r="K13" s="299"/>
      <c r="L13" s="300"/>
      <c r="M13" s="13"/>
      <c r="N13" s="13"/>
      <c r="O13" s="13"/>
      <c r="P13" s="13"/>
      <c r="Q13" s="13"/>
      <c r="R13" s="13"/>
      <c r="S13" s="13"/>
      <c r="T13" s="13"/>
      <c r="U13" s="13"/>
      <c r="V13" s="13"/>
    </row>
    <row r="14" spans="1:22" s="14" customFormat="1" ht="27.75" customHeight="1" x14ac:dyDescent="0.2">
      <c r="A14" s="290"/>
      <c r="B14" s="17"/>
      <c r="C14" s="28" t="s">
        <v>80</v>
      </c>
      <c r="D14" s="29" t="s">
        <v>201</v>
      </c>
      <c r="E14" s="301"/>
      <c r="F14" s="302"/>
      <c r="G14" s="302"/>
      <c r="H14" s="302"/>
      <c r="I14" s="302"/>
      <c r="J14" s="302"/>
      <c r="K14" s="302"/>
      <c r="L14" s="303"/>
      <c r="M14" s="13"/>
      <c r="N14" s="13"/>
      <c r="O14" s="13"/>
      <c r="P14" s="13"/>
      <c r="Q14" s="13"/>
      <c r="R14" s="13"/>
      <c r="S14" s="13"/>
      <c r="T14" s="13"/>
      <c r="U14" s="13"/>
      <c r="V14" s="13"/>
    </row>
    <row r="15" spans="1:22" s="14" customFormat="1" x14ac:dyDescent="0.2">
      <c r="A15" s="290"/>
      <c r="B15" s="17"/>
      <c r="C15" s="28"/>
      <c r="D15" s="29"/>
      <c r="E15" s="30" t="s">
        <v>245</v>
      </c>
      <c r="F15" s="30" t="s">
        <v>246</v>
      </c>
      <c r="G15" s="30" t="s">
        <v>247</v>
      </c>
      <c r="H15" s="30" t="s">
        <v>248</v>
      </c>
      <c r="I15" s="30" t="s">
        <v>249</v>
      </c>
      <c r="J15" s="30" t="s">
        <v>250</v>
      </c>
      <c r="K15" s="30" t="s">
        <v>251</v>
      </c>
      <c r="L15" s="30" t="s">
        <v>252</v>
      </c>
      <c r="M15" s="13"/>
      <c r="N15" s="13"/>
      <c r="O15" s="13"/>
      <c r="P15" s="13"/>
      <c r="Q15" s="13"/>
      <c r="R15" s="13"/>
      <c r="S15" s="13"/>
      <c r="T15" s="13"/>
      <c r="U15" s="13"/>
      <c r="V15" s="13"/>
    </row>
    <row r="16" spans="1:22" s="14" customFormat="1" ht="15" customHeight="1" x14ac:dyDescent="0.2">
      <c r="A16" s="290"/>
      <c r="B16" s="292" t="s">
        <v>244</v>
      </c>
      <c r="C16" s="12">
        <v>1</v>
      </c>
      <c r="D16" s="10" t="s">
        <v>237</v>
      </c>
      <c r="E16" s="8" t="s">
        <v>195</v>
      </c>
      <c r="F16" s="8"/>
      <c r="G16" s="8"/>
      <c r="H16" s="8"/>
      <c r="I16" s="19"/>
      <c r="J16" s="19"/>
      <c r="K16" s="19"/>
      <c r="L16" s="9"/>
      <c r="M16" s="13"/>
      <c r="N16" s="13"/>
      <c r="O16" s="13"/>
      <c r="P16" s="13"/>
      <c r="Q16" s="13"/>
      <c r="R16" s="13"/>
      <c r="S16" s="13"/>
      <c r="T16" s="13"/>
      <c r="U16" s="13"/>
      <c r="V16" s="13"/>
    </row>
    <row r="17" spans="1:22" s="14" customFormat="1" ht="15" x14ac:dyDescent="0.2">
      <c r="A17" s="290"/>
      <c r="B17" s="293"/>
      <c r="C17" s="12">
        <v>2</v>
      </c>
      <c r="D17" s="10" t="s">
        <v>238</v>
      </c>
      <c r="E17" s="8"/>
      <c r="F17" s="8"/>
      <c r="G17" s="8"/>
      <c r="H17" s="8"/>
      <c r="I17" s="19"/>
      <c r="J17" s="19"/>
      <c r="K17" s="19"/>
      <c r="L17" s="9"/>
      <c r="M17" s="13"/>
      <c r="N17" s="13"/>
      <c r="O17" s="13"/>
      <c r="P17" s="13"/>
      <c r="Q17" s="13"/>
      <c r="R17" s="13"/>
      <c r="S17" s="13"/>
      <c r="T17" s="13"/>
      <c r="U17" s="13"/>
      <c r="V17" s="13"/>
    </row>
    <row r="18" spans="1:22" s="14" customFormat="1" ht="25.5" x14ac:dyDescent="0.2">
      <c r="A18" s="290"/>
      <c r="B18" s="293"/>
      <c r="C18" s="12">
        <v>3</v>
      </c>
      <c r="D18" s="10" t="s">
        <v>239</v>
      </c>
      <c r="E18" s="8"/>
      <c r="F18" s="8"/>
      <c r="G18" s="8"/>
      <c r="H18" s="8"/>
      <c r="I18" s="19"/>
      <c r="J18" s="19"/>
      <c r="K18" s="19"/>
      <c r="L18" s="9"/>
      <c r="M18" s="13"/>
      <c r="N18" s="13"/>
      <c r="O18" s="13"/>
      <c r="P18" s="13"/>
      <c r="Q18" s="13"/>
      <c r="R18" s="13"/>
      <c r="S18" s="13"/>
      <c r="T18" s="13"/>
      <c r="U18" s="13"/>
      <c r="V18" s="13"/>
    </row>
    <row r="19" spans="1:22" s="14" customFormat="1" ht="25.5" x14ac:dyDescent="0.2">
      <c r="A19" s="290"/>
      <c r="B19" s="293"/>
      <c r="C19" s="12">
        <v>4</v>
      </c>
      <c r="D19" s="10" t="s">
        <v>240</v>
      </c>
      <c r="E19" s="8"/>
      <c r="F19" s="8"/>
      <c r="G19" s="8"/>
      <c r="H19" s="8"/>
      <c r="I19" s="19"/>
      <c r="J19" s="19"/>
      <c r="K19" s="19"/>
      <c r="L19" s="9"/>
      <c r="M19" s="13"/>
      <c r="N19" s="13"/>
      <c r="O19" s="13"/>
      <c r="P19" s="13"/>
      <c r="Q19" s="13"/>
      <c r="R19" s="13"/>
      <c r="S19" s="13"/>
      <c r="T19" s="13"/>
      <c r="U19" s="13"/>
      <c r="V19" s="13"/>
    </row>
    <row r="20" spans="1:22" s="14" customFormat="1" ht="15" x14ac:dyDescent="0.2">
      <c r="A20" s="290"/>
      <c r="B20" s="293"/>
      <c r="C20" s="12">
        <v>5</v>
      </c>
      <c r="D20" s="10" t="s">
        <v>241</v>
      </c>
      <c r="E20" s="8"/>
      <c r="F20" s="8"/>
      <c r="G20" s="8"/>
      <c r="H20" s="8"/>
      <c r="I20" s="19"/>
      <c r="J20" s="19"/>
      <c r="K20" s="19"/>
      <c r="L20" s="9"/>
      <c r="M20" s="13"/>
      <c r="N20" s="13"/>
      <c r="O20" s="13"/>
      <c r="P20" s="13"/>
      <c r="Q20" s="13"/>
      <c r="R20" s="13"/>
      <c r="S20" s="13"/>
      <c r="T20" s="13"/>
      <c r="U20" s="13"/>
      <c r="V20" s="13"/>
    </row>
    <row r="21" spans="1:22" s="14" customFormat="1" ht="15" x14ac:dyDescent="0.2">
      <c r="A21" s="290"/>
      <c r="B21" s="293"/>
      <c r="C21" s="12">
        <v>6</v>
      </c>
      <c r="D21" s="10" t="s">
        <v>242</v>
      </c>
      <c r="E21" s="8"/>
      <c r="F21" s="8"/>
      <c r="G21" s="8"/>
      <c r="H21" s="8"/>
      <c r="I21" s="19"/>
      <c r="J21" s="19"/>
      <c r="K21" s="19"/>
      <c r="L21" s="9"/>
      <c r="M21" s="13"/>
      <c r="N21" s="13"/>
      <c r="O21" s="13"/>
      <c r="P21" s="13"/>
      <c r="Q21" s="13"/>
      <c r="R21" s="13"/>
      <c r="S21" s="13"/>
      <c r="T21" s="13"/>
      <c r="U21" s="13"/>
      <c r="V21" s="13"/>
    </row>
    <row r="22" spans="1:22" s="14" customFormat="1" ht="15.75" thickBot="1" x14ac:dyDescent="0.25">
      <c r="A22" s="291"/>
      <c r="B22" s="294"/>
      <c r="C22" s="12">
        <v>7</v>
      </c>
      <c r="D22" s="10" t="s">
        <v>243</v>
      </c>
      <c r="E22" s="8"/>
      <c r="F22" s="8"/>
      <c r="G22" s="8"/>
      <c r="H22" s="8"/>
      <c r="I22" s="19"/>
      <c r="J22" s="19"/>
      <c r="K22" s="19"/>
      <c r="L22" s="9"/>
      <c r="M22" s="13"/>
      <c r="N22" s="13"/>
      <c r="O22" s="13"/>
      <c r="P22" s="13"/>
      <c r="Q22" s="13"/>
      <c r="R22" s="13"/>
      <c r="S22" s="13"/>
      <c r="T22" s="13"/>
      <c r="U22" s="13"/>
      <c r="V22" s="13"/>
    </row>
    <row r="23" spans="1:22" s="6" customFormat="1" x14ac:dyDescent="0.2"/>
    <row r="24" spans="1:22" s="6" customFormat="1" x14ac:dyDescent="0.2"/>
    <row r="25" spans="1:22" s="6" customFormat="1" x14ac:dyDescent="0.2"/>
    <row r="26" spans="1:22" s="6" customFormat="1" x14ac:dyDescent="0.2"/>
    <row r="27" spans="1:22" s="6" customFormat="1" x14ac:dyDescent="0.2"/>
    <row r="28" spans="1:22" s="6" customFormat="1" x14ac:dyDescent="0.2"/>
    <row r="29" spans="1:22" s="6" customFormat="1" x14ac:dyDescent="0.2"/>
    <row r="30" spans="1:22" s="6" customFormat="1" x14ac:dyDescent="0.2"/>
    <row r="31" spans="1:22" s="6" customFormat="1" x14ac:dyDescent="0.2"/>
    <row r="32" spans="1:22" s="6" customFormat="1" x14ac:dyDescent="0.2"/>
    <row r="33" s="6" customFormat="1" x14ac:dyDescent="0.2"/>
    <row r="34" s="6" customFormat="1" x14ac:dyDescent="0.2"/>
    <row r="35" s="6" customFormat="1" x14ac:dyDescent="0.2"/>
    <row r="36" s="6" customFormat="1" x14ac:dyDescent="0.2"/>
    <row r="37" s="6" customFormat="1" x14ac:dyDescent="0.2"/>
    <row r="38" s="6" customFormat="1" x14ac:dyDescent="0.2"/>
    <row r="39" s="6" customFormat="1" x14ac:dyDescent="0.2"/>
    <row r="40" s="6" customFormat="1" x14ac:dyDescent="0.2"/>
    <row r="41" s="6" customFormat="1" x14ac:dyDescent="0.2"/>
    <row r="42" s="6" customFormat="1" x14ac:dyDescent="0.2"/>
    <row r="43" s="6" customFormat="1" x14ac:dyDescent="0.2"/>
    <row r="44" s="6" customFormat="1" x14ac:dyDescent="0.2"/>
    <row r="45" s="6" customFormat="1" x14ac:dyDescent="0.2"/>
    <row r="46" s="6" customFormat="1" x14ac:dyDescent="0.2"/>
    <row r="47" s="6" customFormat="1" x14ac:dyDescent="0.2"/>
    <row r="48" s="6" customFormat="1" x14ac:dyDescent="0.2"/>
    <row r="49" spans="3:12" x14ac:dyDescent="0.2">
      <c r="C49" s="6"/>
      <c r="D49" s="6"/>
      <c r="E49" s="6"/>
      <c r="F49" s="6"/>
      <c r="G49" s="6"/>
      <c r="H49" s="6"/>
      <c r="I49" s="6"/>
      <c r="J49" s="6"/>
      <c r="K49" s="6"/>
      <c r="L49" s="6"/>
    </row>
    <row r="50" spans="3:12" x14ac:dyDescent="0.2">
      <c r="C50" s="6"/>
      <c r="D50" s="6"/>
      <c r="E50" s="6"/>
      <c r="F50" s="6"/>
      <c r="G50" s="6"/>
      <c r="H50" s="6"/>
      <c r="I50" s="6"/>
      <c r="J50" s="6"/>
      <c r="K50" s="6"/>
      <c r="L50" s="6"/>
    </row>
    <row r="51" spans="3:12" x14ac:dyDescent="0.2">
      <c r="C51" s="6"/>
      <c r="D51" s="6"/>
      <c r="E51" s="6"/>
      <c r="F51" s="6"/>
      <c r="G51" s="6"/>
      <c r="H51" s="6"/>
      <c r="I51" s="6"/>
      <c r="J51" s="6"/>
      <c r="K51" s="6"/>
      <c r="L51" s="6"/>
    </row>
    <row r="52" spans="3:12" x14ac:dyDescent="0.2">
      <c r="C52" s="6"/>
      <c r="D52" s="6"/>
      <c r="E52" s="6"/>
      <c r="F52" s="6"/>
      <c r="G52" s="6"/>
      <c r="H52" s="6"/>
      <c r="I52" s="6"/>
      <c r="J52" s="6"/>
      <c r="K52" s="6"/>
      <c r="L52" s="6"/>
    </row>
    <row r="53" spans="3:12" x14ac:dyDescent="0.2">
      <c r="C53" s="6"/>
      <c r="D53" s="6"/>
      <c r="E53" s="6"/>
      <c r="F53" s="6"/>
      <c r="G53" s="6"/>
      <c r="H53" s="6"/>
      <c r="I53" s="6"/>
      <c r="J53" s="6"/>
      <c r="K53" s="6"/>
      <c r="L53" s="6"/>
    </row>
  </sheetData>
  <mergeCells count="13">
    <mergeCell ref="A1:L1"/>
    <mergeCell ref="A2:C2"/>
    <mergeCell ref="D2:L2"/>
    <mergeCell ref="A3:D3"/>
    <mergeCell ref="E3:L3"/>
    <mergeCell ref="C13:D13"/>
    <mergeCell ref="A6:A22"/>
    <mergeCell ref="B16:B22"/>
    <mergeCell ref="E4:L4"/>
    <mergeCell ref="E13:L14"/>
    <mergeCell ref="A4:A5"/>
    <mergeCell ref="C4:C5"/>
    <mergeCell ref="D4:D5"/>
  </mergeCells>
  <phoneticPr fontId="0" type="noConversion"/>
  <printOptions horizontalCentered="1" verticalCentered="1"/>
  <pageMargins left="0.75" right="0.75" top="1.25" bottom="1" header="0.5" footer="0.5"/>
  <pageSetup orientation="landscape" horizontalDpi="4294967292" verticalDpi="300" r:id="rId1"/>
  <headerFooter alignWithMargins="0"/>
  <colBreaks count="1" manualBreakCount="1">
    <brk id="14" max="1048575" man="1"/>
  </colBreaks>
  <drawing r:id="rId2"/>
  <legacyDrawing r:id="rId3"/>
  <legacyDrawingHF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W976"/>
  <sheetViews>
    <sheetView showGridLines="0" tabSelected="1" view="pageBreakPreview" topLeftCell="A8" zoomScale="80" zoomScaleNormal="70" zoomScaleSheetLayoutView="80" workbookViewId="0">
      <pane ySplit="1" topLeftCell="A9" activePane="bottomLeft" state="frozen"/>
      <selection activeCell="A8" sqref="A8"/>
      <selection pane="bottomLeft" activeCell="I22" sqref="I22"/>
    </sheetView>
  </sheetViews>
  <sheetFormatPr defaultRowHeight="12.75" x14ac:dyDescent="0.2"/>
  <cols>
    <col min="1" max="1" width="9.140625" style="69"/>
    <col min="2" max="2" width="20.85546875" style="69" customWidth="1"/>
    <col min="3" max="3" width="19.28515625" style="69" customWidth="1"/>
    <col min="4" max="4" width="26" style="69" customWidth="1"/>
    <col min="5" max="5" width="53.28515625" style="69" customWidth="1"/>
    <col min="6" max="6" width="35.5703125" style="69" customWidth="1"/>
    <col min="7" max="7" width="63.5703125" style="69" customWidth="1"/>
    <col min="8" max="8" width="20.42578125" style="69" customWidth="1"/>
    <col min="9" max="9" width="44.85546875" style="166" customWidth="1"/>
    <col min="10" max="10" width="13.28515625" style="69" customWidth="1"/>
    <col min="11" max="11" width="20.5703125" style="69" customWidth="1"/>
    <col min="12" max="12" width="15.28515625" style="69" customWidth="1"/>
    <col min="13" max="13" width="12.5703125" style="69" customWidth="1"/>
    <col min="14" max="14" width="19.85546875" style="69" customWidth="1"/>
    <col min="15" max="15" width="29.7109375" style="68" customWidth="1"/>
    <col min="16" max="46" width="9.140625" style="68"/>
    <col min="47" max="16384" width="9.140625" style="69"/>
  </cols>
  <sheetData>
    <row r="1" spans="1:49" ht="15.75" x14ac:dyDescent="0.2">
      <c r="A1" s="338" t="s">
        <v>47</v>
      </c>
      <c r="B1" s="338"/>
      <c r="C1" s="338"/>
      <c r="D1" s="338"/>
      <c r="E1" s="338"/>
      <c r="F1" s="338"/>
      <c r="G1" s="338"/>
      <c r="H1" s="338"/>
      <c r="I1" s="338"/>
      <c r="J1" s="338"/>
      <c r="K1" s="338"/>
      <c r="L1" s="338"/>
      <c r="M1" s="338"/>
      <c r="N1" s="338"/>
      <c r="O1" s="338"/>
    </row>
    <row r="2" spans="1:49" s="162" customFormat="1" x14ac:dyDescent="0.2">
      <c r="A2" s="329" t="s">
        <v>6</v>
      </c>
      <c r="B2" s="330"/>
      <c r="C2" s="331"/>
      <c r="D2" s="342" t="str">
        <f>IF('Test Plan &amp; Results Summary'!C2="","",'Test Plan &amp; Results Summary'!C2)</f>
        <v/>
      </c>
      <c r="E2" s="343"/>
      <c r="F2" s="343"/>
      <c r="G2" s="343"/>
      <c r="H2" s="344"/>
      <c r="I2" s="152" t="s">
        <v>7</v>
      </c>
      <c r="J2" s="345" t="s">
        <v>393</v>
      </c>
      <c r="K2" s="346"/>
      <c r="L2" s="346"/>
      <c r="M2" s="346"/>
      <c r="N2" s="346"/>
      <c r="O2" s="347"/>
      <c r="P2" s="161"/>
      <c r="Q2" s="161"/>
      <c r="R2" s="161"/>
      <c r="S2" s="161"/>
      <c r="T2" s="161"/>
      <c r="U2" s="161"/>
      <c r="V2" s="161"/>
      <c r="W2" s="161"/>
      <c r="X2" s="161"/>
      <c r="Y2" s="161"/>
      <c r="Z2" s="161"/>
      <c r="AA2" s="161"/>
      <c r="AB2" s="161"/>
      <c r="AC2" s="161"/>
      <c r="AD2" s="161"/>
      <c r="AE2" s="161"/>
      <c r="AF2" s="161"/>
      <c r="AG2" s="161"/>
      <c r="AH2" s="161"/>
      <c r="AI2" s="161"/>
      <c r="AJ2" s="161"/>
      <c r="AK2" s="161"/>
      <c r="AL2" s="161"/>
      <c r="AM2" s="161"/>
      <c r="AN2" s="161"/>
      <c r="AO2" s="161"/>
      <c r="AP2" s="161"/>
      <c r="AQ2" s="161"/>
      <c r="AR2" s="161"/>
      <c r="AS2" s="161"/>
      <c r="AT2" s="161"/>
    </row>
    <row r="3" spans="1:49" s="162" customFormat="1" x14ac:dyDescent="0.2">
      <c r="A3" s="329" t="s">
        <v>42</v>
      </c>
      <c r="B3" s="330"/>
      <c r="C3" s="331"/>
      <c r="D3" s="353"/>
      <c r="E3" s="354"/>
      <c r="F3" s="355"/>
      <c r="G3" s="348"/>
      <c r="H3" s="349"/>
      <c r="I3" s="140" t="s">
        <v>373</v>
      </c>
      <c r="J3" s="156" t="s">
        <v>377</v>
      </c>
      <c r="K3" s="329" t="s">
        <v>15</v>
      </c>
      <c r="L3" s="331"/>
      <c r="M3" s="350" t="s">
        <v>392</v>
      </c>
      <c r="N3" s="351"/>
      <c r="O3" s="352"/>
      <c r="P3" s="161"/>
      <c r="Q3" s="161"/>
      <c r="R3" s="161"/>
      <c r="S3" s="161"/>
      <c r="T3" s="161"/>
      <c r="U3" s="161"/>
      <c r="V3" s="161"/>
      <c r="W3" s="161"/>
      <c r="X3" s="161"/>
      <c r="Y3" s="161"/>
      <c r="Z3" s="161"/>
      <c r="AA3" s="161"/>
      <c r="AB3" s="161"/>
      <c r="AC3" s="161"/>
      <c r="AD3" s="161"/>
      <c r="AE3" s="161"/>
      <c r="AF3" s="161"/>
      <c r="AG3" s="161"/>
      <c r="AH3" s="161"/>
      <c r="AI3" s="161"/>
      <c r="AJ3" s="161"/>
      <c r="AK3" s="161"/>
      <c r="AL3" s="161"/>
      <c r="AM3" s="161"/>
      <c r="AN3" s="161"/>
      <c r="AO3" s="161"/>
      <c r="AP3" s="161"/>
      <c r="AQ3" s="161"/>
      <c r="AR3" s="161"/>
      <c r="AS3" s="161"/>
      <c r="AT3" s="161"/>
    </row>
    <row r="4" spans="1:49" s="162" customFormat="1" x14ac:dyDescent="0.2">
      <c r="A4" s="329" t="s">
        <v>28</v>
      </c>
      <c r="B4" s="330"/>
      <c r="C4" s="331"/>
      <c r="D4" s="332" t="s">
        <v>394</v>
      </c>
      <c r="E4" s="333"/>
      <c r="F4" s="333"/>
      <c r="G4" s="333"/>
      <c r="H4" s="334"/>
      <c r="I4" s="152" t="s">
        <v>29</v>
      </c>
      <c r="J4" s="340"/>
      <c r="K4" s="340"/>
      <c r="L4" s="340"/>
      <c r="M4" s="340"/>
      <c r="N4" s="340"/>
      <c r="O4" s="341"/>
      <c r="P4" s="161"/>
      <c r="Q4" s="161"/>
      <c r="R4" s="161"/>
      <c r="S4" s="161"/>
      <c r="T4" s="161"/>
      <c r="U4" s="161"/>
      <c r="V4" s="161"/>
      <c r="W4" s="161"/>
      <c r="X4" s="161"/>
      <c r="Y4" s="161"/>
      <c r="Z4" s="161"/>
      <c r="AA4" s="161"/>
      <c r="AB4" s="161"/>
      <c r="AC4" s="161"/>
      <c r="AD4" s="161"/>
      <c r="AE4" s="161"/>
      <c r="AF4" s="161"/>
      <c r="AG4" s="161"/>
      <c r="AH4" s="161"/>
      <c r="AI4" s="161"/>
      <c r="AJ4" s="161"/>
      <c r="AK4" s="161"/>
      <c r="AL4" s="161"/>
      <c r="AM4" s="161"/>
      <c r="AN4" s="161"/>
      <c r="AO4" s="161"/>
      <c r="AP4" s="161"/>
      <c r="AQ4" s="161"/>
      <c r="AR4" s="161"/>
      <c r="AS4" s="161"/>
      <c r="AT4" s="161"/>
    </row>
    <row r="5" spans="1:49" s="162" customFormat="1" x14ac:dyDescent="0.2">
      <c r="A5" s="329" t="s">
        <v>334</v>
      </c>
      <c r="B5" s="330"/>
      <c r="C5" s="331"/>
      <c r="D5" s="332" t="s">
        <v>379</v>
      </c>
      <c r="E5" s="333"/>
      <c r="F5" s="333"/>
      <c r="G5" s="333"/>
      <c r="H5" s="333"/>
      <c r="I5" s="333"/>
      <c r="J5" s="333"/>
      <c r="K5" s="333"/>
      <c r="L5" s="333"/>
      <c r="M5" s="333"/>
      <c r="N5" s="333"/>
      <c r="O5" s="334"/>
      <c r="P5" s="161"/>
      <c r="Q5" s="161"/>
      <c r="R5" s="161"/>
      <c r="S5" s="161"/>
      <c r="T5" s="161"/>
      <c r="U5" s="161"/>
      <c r="V5" s="161"/>
      <c r="W5" s="161"/>
      <c r="X5" s="161"/>
      <c r="Y5" s="161"/>
      <c r="Z5" s="161"/>
      <c r="AA5" s="161"/>
      <c r="AB5" s="161"/>
      <c r="AC5" s="161"/>
      <c r="AD5" s="161"/>
      <c r="AE5" s="161"/>
      <c r="AF5" s="161"/>
      <c r="AG5" s="161"/>
      <c r="AH5" s="161"/>
      <c r="AI5" s="161"/>
      <c r="AJ5" s="161"/>
      <c r="AK5" s="161"/>
      <c r="AL5" s="161"/>
      <c r="AM5" s="161"/>
      <c r="AN5" s="161"/>
      <c r="AO5" s="161"/>
      <c r="AP5" s="161"/>
      <c r="AQ5" s="161"/>
      <c r="AR5" s="161"/>
      <c r="AS5" s="161"/>
      <c r="AT5" s="161"/>
    </row>
    <row r="6" spans="1:49" s="162" customFormat="1" ht="15" x14ac:dyDescent="0.2">
      <c r="A6" s="328" t="s">
        <v>213</v>
      </c>
      <c r="B6" s="328"/>
      <c r="C6" s="328"/>
      <c r="D6" s="328"/>
      <c r="E6" s="328"/>
      <c r="F6" s="328"/>
      <c r="G6" s="328"/>
      <c r="H6" s="328"/>
      <c r="I6" s="328"/>
      <c r="J6" s="336" t="s">
        <v>27</v>
      </c>
      <c r="K6" s="337"/>
      <c r="L6" s="336" t="s">
        <v>43</v>
      </c>
      <c r="M6" s="337"/>
      <c r="N6" s="326" t="s">
        <v>66</v>
      </c>
      <c r="O6" s="326" t="s">
        <v>219</v>
      </c>
      <c r="P6" s="161"/>
      <c r="Q6" s="161"/>
      <c r="R6" s="161"/>
      <c r="S6" s="161"/>
      <c r="T6" s="161"/>
      <c r="U6" s="161"/>
      <c r="V6" s="161"/>
      <c r="W6" s="161"/>
      <c r="X6" s="161"/>
      <c r="Y6" s="161"/>
      <c r="Z6" s="161"/>
      <c r="AA6" s="161"/>
      <c r="AB6" s="161"/>
      <c r="AC6" s="161"/>
      <c r="AD6" s="161"/>
      <c r="AE6" s="161"/>
      <c r="AF6" s="161"/>
      <c r="AG6" s="161"/>
      <c r="AH6" s="161"/>
      <c r="AI6" s="161"/>
      <c r="AJ6" s="161"/>
      <c r="AK6" s="161"/>
      <c r="AL6" s="161"/>
      <c r="AM6" s="161"/>
      <c r="AN6" s="161"/>
      <c r="AO6" s="161"/>
      <c r="AP6" s="161"/>
      <c r="AQ6" s="161"/>
      <c r="AR6" s="161"/>
      <c r="AS6" s="161"/>
      <c r="AT6" s="161"/>
    </row>
    <row r="7" spans="1:49" s="162" customFormat="1" x14ac:dyDescent="0.2">
      <c r="A7" s="325" t="s">
        <v>46</v>
      </c>
      <c r="B7" s="325" t="s">
        <v>214</v>
      </c>
      <c r="C7" s="325" t="s">
        <v>26</v>
      </c>
      <c r="D7" s="326" t="s">
        <v>32</v>
      </c>
      <c r="E7" s="326" t="s">
        <v>215</v>
      </c>
      <c r="F7" s="325" t="s">
        <v>216</v>
      </c>
      <c r="G7" s="339" t="s">
        <v>395</v>
      </c>
      <c r="H7" s="325" t="s">
        <v>18</v>
      </c>
      <c r="I7" s="325"/>
      <c r="J7" s="326" t="s">
        <v>40</v>
      </c>
      <c r="K7" s="326" t="s">
        <v>19</v>
      </c>
      <c r="L7" s="326" t="s">
        <v>40</v>
      </c>
      <c r="M7" s="326" t="s">
        <v>19</v>
      </c>
      <c r="N7" s="335"/>
      <c r="O7" s="335"/>
      <c r="P7" s="161"/>
      <c r="Q7" s="161"/>
      <c r="R7" s="161"/>
      <c r="S7" s="161"/>
      <c r="T7" s="161"/>
      <c r="U7" s="161"/>
      <c r="V7" s="161"/>
      <c r="W7" s="161"/>
      <c r="X7" s="161"/>
      <c r="Y7" s="161"/>
      <c r="Z7" s="161"/>
      <c r="AA7" s="161"/>
      <c r="AB7" s="161"/>
      <c r="AC7" s="161"/>
      <c r="AD7" s="161"/>
      <c r="AE7" s="161"/>
      <c r="AF7" s="161"/>
      <c r="AG7" s="161"/>
      <c r="AH7" s="161"/>
      <c r="AI7" s="161"/>
      <c r="AJ7" s="161"/>
      <c r="AK7" s="161"/>
      <c r="AL7" s="161"/>
      <c r="AM7" s="161"/>
      <c r="AN7" s="161"/>
      <c r="AO7" s="161"/>
      <c r="AP7" s="161"/>
      <c r="AQ7" s="161"/>
      <c r="AR7" s="161"/>
      <c r="AS7" s="161"/>
      <c r="AT7" s="161"/>
    </row>
    <row r="8" spans="1:49" s="168" customFormat="1" ht="38.25" customHeight="1" x14ac:dyDescent="0.2">
      <c r="A8" s="325"/>
      <c r="B8" s="325"/>
      <c r="C8" s="325"/>
      <c r="D8" s="327"/>
      <c r="E8" s="327"/>
      <c r="F8" s="325"/>
      <c r="G8" s="325"/>
      <c r="H8" s="395" t="s">
        <v>203</v>
      </c>
      <c r="I8" s="155" t="s">
        <v>284</v>
      </c>
      <c r="J8" s="327"/>
      <c r="K8" s="327"/>
      <c r="L8" s="327"/>
      <c r="M8" s="327"/>
      <c r="N8" s="327"/>
      <c r="O8" s="327"/>
      <c r="P8" s="167"/>
      <c r="Q8" s="167"/>
      <c r="R8" s="167"/>
      <c r="S8" s="167"/>
      <c r="T8" s="167"/>
      <c r="U8" s="167"/>
      <c r="V8" s="167"/>
      <c r="W8" s="167"/>
      <c r="X8" s="167"/>
      <c r="Y8" s="167"/>
      <c r="Z8" s="167"/>
      <c r="AA8" s="167"/>
      <c r="AB8" s="167"/>
      <c r="AC8" s="167"/>
      <c r="AD8" s="167"/>
      <c r="AE8" s="167"/>
      <c r="AF8" s="167"/>
      <c r="AG8" s="167"/>
      <c r="AH8" s="167"/>
      <c r="AI8" s="167"/>
      <c r="AJ8" s="167"/>
      <c r="AK8" s="167"/>
      <c r="AL8" s="167"/>
      <c r="AM8" s="167"/>
      <c r="AN8" s="167"/>
      <c r="AO8" s="167"/>
      <c r="AP8" s="167"/>
      <c r="AQ8" s="167"/>
      <c r="AR8" s="167"/>
      <c r="AS8" s="167"/>
      <c r="AT8" s="167"/>
    </row>
    <row r="9" spans="1:49" s="143" customFormat="1" ht="114" customHeight="1" x14ac:dyDescent="0.2">
      <c r="A9" s="398">
        <v>1</v>
      </c>
      <c r="B9" s="144" t="s">
        <v>391</v>
      </c>
      <c r="C9" s="154">
        <v>44170</v>
      </c>
      <c r="D9" s="169" t="s">
        <v>380</v>
      </c>
      <c r="E9" s="144" t="s">
        <v>428</v>
      </c>
      <c r="F9" s="144" t="s">
        <v>429</v>
      </c>
      <c r="G9" s="144" t="s">
        <v>436</v>
      </c>
      <c r="H9" s="144" t="s">
        <v>377</v>
      </c>
      <c r="I9" s="150" t="s">
        <v>414</v>
      </c>
      <c r="J9" s="144"/>
      <c r="O9" s="170"/>
      <c r="P9" s="170"/>
      <c r="Q9" s="170"/>
      <c r="R9" s="170"/>
      <c r="S9" s="170"/>
      <c r="T9" s="170"/>
      <c r="U9" s="170"/>
      <c r="V9" s="170"/>
      <c r="W9" s="170"/>
      <c r="X9" s="170"/>
      <c r="Y9" s="170"/>
      <c r="Z9" s="170"/>
      <c r="AA9" s="170"/>
      <c r="AB9" s="170"/>
      <c r="AC9" s="170"/>
      <c r="AD9" s="170"/>
      <c r="AE9" s="170"/>
      <c r="AF9" s="170"/>
      <c r="AG9" s="170"/>
      <c r="AH9" s="170"/>
      <c r="AI9" s="170"/>
      <c r="AJ9" s="170"/>
      <c r="AK9" s="170"/>
      <c r="AL9" s="170"/>
      <c r="AM9" s="170"/>
      <c r="AN9" s="170"/>
      <c r="AO9" s="170"/>
      <c r="AP9" s="170"/>
      <c r="AQ9" s="170"/>
      <c r="AR9" s="170"/>
      <c r="AS9" s="170"/>
      <c r="AT9" s="170"/>
    </row>
    <row r="10" spans="1:49" s="145" customFormat="1" ht="119.25" customHeight="1" x14ac:dyDescent="0.2">
      <c r="A10" s="398">
        <v>2</v>
      </c>
      <c r="B10" s="144" t="s">
        <v>396</v>
      </c>
      <c r="C10" s="154">
        <v>44170</v>
      </c>
      <c r="D10" s="169" t="s">
        <v>381</v>
      </c>
      <c r="E10" s="192" t="s">
        <v>415</v>
      </c>
      <c r="F10" s="144"/>
      <c r="G10" s="192" t="s">
        <v>441</v>
      </c>
      <c r="H10" s="144" t="s">
        <v>377</v>
      </c>
      <c r="I10" s="193" t="s">
        <v>442</v>
      </c>
      <c r="J10" s="403"/>
      <c r="K10" s="143"/>
      <c r="L10" s="143"/>
      <c r="M10" s="143"/>
      <c r="N10" s="143"/>
      <c r="O10" s="170"/>
      <c r="P10" s="170"/>
      <c r="Q10" s="170"/>
      <c r="R10" s="170"/>
      <c r="S10" s="170"/>
      <c r="T10" s="170"/>
      <c r="U10" s="170"/>
      <c r="V10" s="170"/>
      <c r="W10" s="182"/>
      <c r="X10" s="182"/>
      <c r="Y10" s="182"/>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3"/>
      <c r="AV10" s="183"/>
      <c r="AW10" s="183"/>
    </row>
    <row r="11" spans="1:49" s="145" customFormat="1" ht="111" customHeight="1" x14ac:dyDescent="0.2">
      <c r="A11" s="398">
        <v>3</v>
      </c>
      <c r="B11" s="144" t="s">
        <v>397</v>
      </c>
      <c r="C11" s="154">
        <v>44170</v>
      </c>
      <c r="D11" s="169" t="s">
        <v>382</v>
      </c>
      <c r="E11" s="144" t="s">
        <v>416</v>
      </c>
      <c r="F11" s="144"/>
      <c r="G11" s="144" t="s">
        <v>417</v>
      </c>
      <c r="H11" s="144" t="s">
        <v>377</v>
      </c>
      <c r="I11" s="171" t="s">
        <v>435</v>
      </c>
      <c r="J11" s="144"/>
      <c r="K11" s="143"/>
      <c r="L11" s="143"/>
      <c r="M11" s="143"/>
      <c r="N11" s="143"/>
      <c r="O11" s="170"/>
      <c r="P11" s="170"/>
      <c r="Q11" s="170"/>
      <c r="R11" s="170"/>
      <c r="S11" s="170"/>
      <c r="T11" s="170"/>
      <c r="U11" s="170"/>
      <c r="V11" s="170"/>
      <c r="W11" s="182"/>
      <c r="X11" s="182"/>
      <c r="Y11" s="182"/>
      <c r="Z11" s="182"/>
      <c r="AA11" s="182"/>
      <c r="AB11" s="182"/>
      <c r="AC11" s="182"/>
      <c r="AD11" s="182"/>
      <c r="AE11" s="182"/>
      <c r="AF11" s="182"/>
      <c r="AG11" s="182"/>
      <c r="AH11" s="182"/>
      <c r="AI11" s="182"/>
      <c r="AJ11" s="182"/>
      <c r="AK11" s="182"/>
      <c r="AL11" s="182"/>
      <c r="AM11" s="182"/>
      <c r="AN11" s="182"/>
      <c r="AO11" s="182"/>
      <c r="AP11" s="182"/>
      <c r="AQ11" s="182"/>
      <c r="AR11" s="182"/>
      <c r="AS11" s="182"/>
      <c r="AT11" s="182"/>
      <c r="AU11" s="183"/>
      <c r="AV11" s="183"/>
      <c r="AW11" s="183"/>
    </row>
    <row r="12" spans="1:49" s="145" customFormat="1" ht="109.5" customHeight="1" x14ac:dyDescent="0.2">
      <c r="A12" s="398">
        <v>4</v>
      </c>
      <c r="B12" s="144" t="s">
        <v>398</v>
      </c>
      <c r="C12" s="154">
        <v>44170</v>
      </c>
      <c r="D12" s="169" t="s">
        <v>383</v>
      </c>
      <c r="E12" s="144" t="s">
        <v>418</v>
      </c>
      <c r="F12" s="144"/>
      <c r="G12" s="144" t="s">
        <v>419</v>
      </c>
      <c r="H12" s="144" t="s">
        <v>377</v>
      </c>
      <c r="I12" s="144" t="s">
        <v>420</v>
      </c>
      <c r="J12" s="144"/>
      <c r="K12" s="143"/>
      <c r="L12" s="143"/>
      <c r="M12" s="143"/>
      <c r="N12" s="143"/>
      <c r="O12" s="170"/>
      <c r="P12" s="170"/>
      <c r="Q12" s="170"/>
      <c r="R12" s="170"/>
      <c r="S12" s="170"/>
      <c r="T12" s="170"/>
      <c r="U12" s="170"/>
      <c r="V12" s="170"/>
      <c r="W12" s="182"/>
      <c r="X12" s="182"/>
      <c r="Y12" s="182"/>
      <c r="Z12" s="182"/>
      <c r="AA12" s="182"/>
      <c r="AB12" s="182"/>
      <c r="AC12" s="182"/>
      <c r="AD12" s="182"/>
      <c r="AE12" s="182"/>
      <c r="AF12" s="182"/>
      <c r="AG12" s="182"/>
      <c r="AH12" s="182"/>
      <c r="AI12" s="182"/>
      <c r="AJ12" s="182"/>
      <c r="AK12" s="182"/>
      <c r="AL12" s="182"/>
      <c r="AM12" s="182"/>
      <c r="AN12" s="182"/>
      <c r="AO12" s="182"/>
      <c r="AP12" s="182"/>
      <c r="AQ12" s="182"/>
      <c r="AR12" s="182"/>
      <c r="AS12" s="182"/>
      <c r="AT12" s="182"/>
      <c r="AU12" s="183"/>
      <c r="AV12" s="183"/>
      <c r="AW12" s="183"/>
    </row>
    <row r="13" spans="1:49" s="145" customFormat="1" ht="140.25" customHeight="1" x14ac:dyDescent="0.2">
      <c r="A13" s="398">
        <v>5</v>
      </c>
      <c r="B13" s="144" t="s">
        <v>399</v>
      </c>
      <c r="C13" s="396">
        <v>44170</v>
      </c>
      <c r="D13" s="171" t="s">
        <v>384</v>
      </c>
      <c r="E13" s="148" t="s">
        <v>421</v>
      </c>
      <c r="F13" s="147"/>
      <c r="G13" s="148" t="s">
        <v>422</v>
      </c>
      <c r="H13" s="148" t="s">
        <v>377</v>
      </c>
      <c r="I13" s="157" t="s">
        <v>423</v>
      </c>
      <c r="J13" s="143"/>
      <c r="K13" s="143"/>
      <c r="L13" s="143"/>
      <c r="M13" s="143"/>
      <c r="N13" s="143"/>
      <c r="O13" s="170"/>
      <c r="P13" s="170"/>
      <c r="Q13" s="170"/>
      <c r="R13" s="170"/>
      <c r="S13" s="170"/>
      <c r="T13" s="170"/>
      <c r="U13" s="170"/>
      <c r="V13" s="170"/>
      <c r="W13" s="167"/>
      <c r="X13" s="167"/>
      <c r="Y13" s="167"/>
      <c r="Z13" s="167"/>
      <c r="AA13" s="167"/>
      <c r="AB13" s="167"/>
      <c r="AC13" s="167"/>
      <c r="AD13" s="167"/>
      <c r="AE13" s="167"/>
      <c r="AF13" s="167"/>
      <c r="AG13" s="167"/>
      <c r="AH13" s="167"/>
      <c r="AI13" s="167"/>
      <c r="AJ13" s="167"/>
      <c r="AK13" s="167"/>
      <c r="AL13" s="167"/>
      <c r="AM13" s="167"/>
      <c r="AN13" s="167"/>
      <c r="AO13" s="167"/>
      <c r="AP13" s="167"/>
      <c r="AQ13" s="167"/>
      <c r="AR13" s="167"/>
      <c r="AS13" s="167"/>
      <c r="AT13" s="167"/>
      <c r="AU13" s="168"/>
      <c r="AV13" s="168"/>
      <c r="AW13" s="168"/>
    </row>
    <row r="14" spans="1:49" s="143" customFormat="1" ht="129" customHeight="1" x14ac:dyDescent="0.2">
      <c r="A14" s="398">
        <v>6</v>
      </c>
      <c r="B14" s="144" t="s">
        <v>400</v>
      </c>
      <c r="C14" s="154">
        <v>44170</v>
      </c>
      <c r="D14" s="169" t="s">
        <v>385</v>
      </c>
      <c r="E14" s="144" t="s">
        <v>424</v>
      </c>
      <c r="F14" s="144"/>
      <c r="G14" s="144" t="s">
        <v>425</v>
      </c>
      <c r="H14" s="144" t="s">
        <v>377</v>
      </c>
      <c r="I14" s="150" t="s">
        <v>426</v>
      </c>
      <c r="O14" s="170"/>
      <c r="P14" s="170"/>
      <c r="Q14" s="170"/>
      <c r="R14" s="170"/>
      <c r="S14" s="170"/>
      <c r="T14" s="170"/>
      <c r="U14" s="170"/>
      <c r="V14" s="170"/>
      <c r="W14" s="170"/>
      <c r="X14" s="170"/>
      <c r="Y14" s="170"/>
      <c r="Z14" s="170"/>
      <c r="AA14" s="170"/>
      <c r="AB14" s="170"/>
      <c r="AC14" s="170"/>
      <c r="AD14" s="170"/>
      <c r="AE14" s="170"/>
      <c r="AF14" s="170"/>
      <c r="AG14" s="170"/>
      <c r="AH14" s="170"/>
      <c r="AI14" s="170"/>
      <c r="AJ14" s="170"/>
      <c r="AK14" s="170"/>
      <c r="AL14" s="170"/>
      <c r="AM14" s="170"/>
      <c r="AN14" s="170"/>
      <c r="AO14" s="170"/>
      <c r="AP14" s="170"/>
      <c r="AQ14" s="170"/>
      <c r="AR14" s="170"/>
      <c r="AS14" s="170"/>
      <c r="AT14" s="170"/>
    </row>
    <row r="15" spans="1:49" s="168" customFormat="1" ht="117" customHeight="1" x14ac:dyDescent="0.2">
      <c r="A15" s="398">
        <v>7</v>
      </c>
      <c r="B15" s="144" t="s">
        <v>401</v>
      </c>
      <c r="C15" s="396">
        <v>44170</v>
      </c>
      <c r="D15" s="148" t="s">
        <v>386</v>
      </c>
      <c r="E15" s="172" t="s">
        <v>444</v>
      </c>
      <c r="F15" s="138"/>
      <c r="G15" s="144" t="s">
        <v>443</v>
      </c>
      <c r="H15" s="144" t="s">
        <v>377</v>
      </c>
      <c r="I15" s="144" t="s">
        <v>427</v>
      </c>
      <c r="J15" s="146"/>
      <c r="K15" s="146"/>
      <c r="L15" s="146"/>
      <c r="M15" s="146"/>
      <c r="N15" s="173"/>
      <c r="O15" s="173"/>
      <c r="P15" s="167"/>
      <c r="Q15" s="167"/>
      <c r="R15" s="167"/>
      <c r="S15" s="167"/>
      <c r="T15" s="167"/>
      <c r="U15" s="167"/>
      <c r="V15" s="167"/>
      <c r="W15" s="167"/>
      <c r="X15" s="167"/>
      <c r="Y15" s="167"/>
      <c r="Z15" s="167"/>
      <c r="AA15" s="167"/>
      <c r="AB15" s="167"/>
      <c r="AC15" s="167"/>
      <c r="AD15" s="167"/>
      <c r="AE15" s="167"/>
      <c r="AF15" s="167"/>
      <c r="AG15" s="167"/>
      <c r="AH15" s="167"/>
      <c r="AI15" s="167"/>
      <c r="AJ15" s="167"/>
      <c r="AK15" s="167"/>
      <c r="AL15" s="167"/>
      <c r="AM15" s="167"/>
      <c r="AN15" s="167"/>
      <c r="AO15" s="167"/>
      <c r="AP15" s="167"/>
      <c r="AQ15" s="167"/>
      <c r="AR15" s="167"/>
      <c r="AS15" s="167"/>
      <c r="AT15" s="167"/>
    </row>
    <row r="16" spans="1:49" s="168" customFormat="1" ht="111" customHeight="1" x14ac:dyDescent="0.2">
      <c r="A16" s="398">
        <v>8</v>
      </c>
      <c r="B16" s="144" t="s">
        <v>402</v>
      </c>
      <c r="C16" s="396">
        <v>44170</v>
      </c>
      <c r="D16" s="138" t="s">
        <v>387</v>
      </c>
      <c r="E16" s="401" t="s">
        <v>445</v>
      </c>
      <c r="F16" s="138"/>
      <c r="G16" s="148" t="s">
        <v>446</v>
      </c>
      <c r="H16" s="148" t="s">
        <v>377</v>
      </c>
      <c r="I16" s="148" t="s">
        <v>447</v>
      </c>
      <c r="J16" s="146"/>
      <c r="K16" s="146"/>
      <c r="L16" s="146"/>
      <c r="M16" s="146"/>
      <c r="N16" s="173"/>
      <c r="O16" s="173"/>
      <c r="P16" s="167"/>
      <c r="Q16" s="167"/>
      <c r="R16" s="167"/>
      <c r="S16" s="167"/>
      <c r="T16" s="167"/>
      <c r="U16" s="167"/>
      <c r="V16" s="167"/>
      <c r="W16" s="167"/>
      <c r="X16" s="167"/>
      <c r="Y16" s="167"/>
      <c r="Z16" s="167"/>
      <c r="AA16" s="167"/>
      <c r="AB16" s="167"/>
      <c r="AC16" s="167"/>
      <c r="AD16" s="167"/>
      <c r="AE16" s="167"/>
      <c r="AF16" s="167"/>
      <c r="AG16" s="167"/>
      <c r="AH16" s="167"/>
      <c r="AI16" s="167"/>
      <c r="AJ16" s="167"/>
      <c r="AK16" s="167"/>
      <c r="AL16" s="167"/>
      <c r="AM16" s="167"/>
      <c r="AN16" s="167"/>
      <c r="AO16" s="167"/>
      <c r="AP16" s="167"/>
      <c r="AQ16" s="167"/>
      <c r="AR16" s="167"/>
      <c r="AS16" s="167"/>
      <c r="AT16" s="167"/>
    </row>
    <row r="17" spans="1:49" s="168" customFormat="1" ht="108" customHeight="1" x14ac:dyDescent="0.2">
      <c r="A17" s="398">
        <v>9</v>
      </c>
      <c r="B17" s="144" t="s">
        <v>432</v>
      </c>
      <c r="C17" s="402">
        <v>44170</v>
      </c>
      <c r="D17" s="138" t="s">
        <v>431</v>
      </c>
      <c r="E17" s="169" t="s">
        <v>437</v>
      </c>
      <c r="F17" s="400"/>
      <c r="G17" s="169" t="s">
        <v>438</v>
      </c>
      <c r="H17" s="399" t="s">
        <v>377</v>
      </c>
      <c r="I17" s="169" t="s">
        <v>439</v>
      </c>
      <c r="J17" s="190"/>
      <c r="K17" s="143"/>
      <c r="L17" s="143"/>
      <c r="M17" s="143"/>
      <c r="N17" s="143"/>
      <c r="O17" s="170"/>
      <c r="P17" s="167"/>
      <c r="Q17" s="167"/>
      <c r="R17" s="167"/>
      <c r="S17" s="167"/>
      <c r="T17" s="167"/>
      <c r="U17" s="167"/>
      <c r="V17" s="167"/>
      <c r="W17" s="167"/>
      <c r="X17" s="167"/>
      <c r="Y17" s="167"/>
      <c r="Z17" s="167"/>
      <c r="AA17" s="167"/>
      <c r="AB17" s="167"/>
      <c r="AC17" s="167"/>
      <c r="AD17" s="167"/>
      <c r="AE17" s="167"/>
      <c r="AF17" s="167"/>
      <c r="AG17" s="167"/>
      <c r="AH17" s="167"/>
      <c r="AI17" s="167"/>
      <c r="AJ17" s="167"/>
      <c r="AK17" s="167"/>
      <c r="AL17" s="167"/>
      <c r="AM17" s="167"/>
      <c r="AN17" s="167"/>
      <c r="AO17" s="167"/>
      <c r="AP17" s="167"/>
      <c r="AQ17" s="167"/>
      <c r="AR17" s="167"/>
      <c r="AS17" s="167"/>
      <c r="AT17" s="167"/>
    </row>
    <row r="18" spans="1:49" s="168" customFormat="1" ht="126.75" customHeight="1" x14ac:dyDescent="0.2">
      <c r="A18" s="398">
        <v>10</v>
      </c>
      <c r="B18" s="144" t="s">
        <v>433</v>
      </c>
      <c r="C18" s="396">
        <v>44170</v>
      </c>
      <c r="D18" s="148" t="s">
        <v>434</v>
      </c>
      <c r="E18" s="138" t="s">
        <v>430</v>
      </c>
      <c r="F18" s="144"/>
      <c r="G18" s="138" t="s">
        <v>448</v>
      </c>
      <c r="H18" s="144" t="s">
        <v>377</v>
      </c>
      <c r="I18" s="397" t="s">
        <v>449</v>
      </c>
      <c r="J18" s="143"/>
      <c r="K18" s="143"/>
      <c r="L18" s="143"/>
      <c r="M18" s="143"/>
      <c r="N18" s="143"/>
      <c r="O18" s="170"/>
      <c r="P18" s="167"/>
      <c r="Q18" s="167"/>
      <c r="R18" s="167"/>
      <c r="S18" s="167"/>
      <c r="T18" s="167"/>
      <c r="U18" s="167"/>
      <c r="V18" s="167"/>
      <c r="W18" s="167"/>
      <c r="X18" s="167"/>
      <c r="Y18" s="167"/>
      <c r="Z18" s="167"/>
      <c r="AA18" s="167"/>
      <c r="AB18" s="167"/>
      <c r="AC18" s="167"/>
      <c r="AD18" s="167"/>
      <c r="AE18" s="167"/>
      <c r="AF18" s="167"/>
      <c r="AG18" s="167"/>
      <c r="AH18" s="167"/>
      <c r="AI18" s="167"/>
      <c r="AJ18" s="167"/>
      <c r="AK18" s="167"/>
      <c r="AL18" s="167"/>
      <c r="AM18" s="167"/>
      <c r="AN18" s="167"/>
      <c r="AO18" s="167"/>
      <c r="AP18" s="167"/>
      <c r="AQ18" s="167"/>
      <c r="AR18" s="167"/>
      <c r="AS18" s="167"/>
      <c r="AT18" s="167"/>
    </row>
    <row r="19" spans="1:49" s="168" customFormat="1" ht="117.75" customHeight="1" x14ac:dyDescent="0.2">
      <c r="A19" s="184">
        <v>11</v>
      </c>
      <c r="B19" s="144" t="s">
        <v>450</v>
      </c>
      <c r="C19" s="139">
        <v>44170</v>
      </c>
      <c r="D19" s="147" t="s">
        <v>451</v>
      </c>
      <c r="E19" s="144" t="s">
        <v>452</v>
      </c>
      <c r="F19" s="144"/>
      <c r="G19" s="144" t="s">
        <v>453</v>
      </c>
      <c r="H19" s="144" t="s">
        <v>377</v>
      </c>
      <c r="I19" s="150" t="s">
        <v>454</v>
      </c>
      <c r="J19" s="143"/>
      <c r="K19" s="143"/>
      <c r="L19" s="143"/>
      <c r="M19" s="143"/>
      <c r="N19" s="143"/>
      <c r="O19" s="170"/>
      <c r="P19" s="174"/>
      <c r="Q19" s="174"/>
      <c r="R19" s="174"/>
      <c r="S19" s="174"/>
      <c r="T19" s="174"/>
      <c r="U19" s="174"/>
      <c r="V19" s="174"/>
      <c r="W19" s="174"/>
      <c r="X19" s="174"/>
      <c r="Y19" s="174"/>
      <c r="Z19" s="174"/>
      <c r="AA19" s="174"/>
      <c r="AB19" s="174"/>
      <c r="AC19" s="174"/>
      <c r="AD19" s="174"/>
      <c r="AE19" s="174"/>
      <c r="AF19" s="174"/>
      <c r="AG19" s="174"/>
      <c r="AH19" s="174"/>
      <c r="AI19" s="174"/>
      <c r="AJ19" s="174"/>
      <c r="AK19" s="174"/>
      <c r="AL19" s="174"/>
      <c r="AM19" s="174"/>
      <c r="AN19" s="174"/>
      <c r="AO19" s="174"/>
      <c r="AP19" s="174"/>
      <c r="AQ19" s="174"/>
      <c r="AR19" s="174"/>
      <c r="AS19" s="174"/>
      <c r="AT19" s="174"/>
      <c r="AU19" s="175"/>
      <c r="AV19" s="175"/>
      <c r="AW19" s="175"/>
    </row>
    <row r="20" spans="1:49" s="175" customFormat="1" ht="105" customHeight="1" x14ac:dyDescent="0.2">
      <c r="A20" s="184">
        <v>12</v>
      </c>
      <c r="B20" s="144" t="s">
        <v>455</v>
      </c>
      <c r="C20" s="142">
        <v>44170</v>
      </c>
      <c r="D20" s="169" t="s">
        <v>456</v>
      </c>
      <c r="E20" s="144" t="s">
        <v>457</v>
      </c>
      <c r="F20" s="144"/>
      <c r="G20" s="144" t="s">
        <v>458</v>
      </c>
      <c r="H20" s="144" t="s">
        <v>377</v>
      </c>
      <c r="I20" s="150" t="s">
        <v>459</v>
      </c>
      <c r="J20" s="141"/>
      <c r="K20" s="141"/>
      <c r="L20" s="141"/>
      <c r="M20" s="141"/>
      <c r="N20" s="141"/>
      <c r="O20" s="176"/>
      <c r="P20" s="174"/>
      <c r="Q20" s="174"/>
      <c r="R20" s="174"/>
      <c r="S20" s="174"/>
      <c r="T20" s="174"/>
      <c r="U20" s="174"/>
      <c r="V20" s="174"/>
      <c r="W20" s="174"/>
      <c r="X20" s="174"/>
      <c r="Y20" s="174"/>
      <c r="Z20" s="174"/>
      <c r="AA20" s="174"/>
      <c r="AB20" s="174"/>
      <c r="AC20" s="174"/>
      <c r="AD20" s="174"/>
      <c r="AE20" s="174"/>
      <c r="AF20" s="174"/>
      <c r="AG20" s="174"/>
      <c r="AH20" s="174"/>
      <c r="AI20" s="174"/>
      <c r="AJ20" s="174"/>
      <c r="AK20" s="174"/>
      <c r="AL20" s="174"/>
      <c r="AM20" s="174"/>
      <c r="AN20" s="174"/>
      <c r="AO20" s="174"/>
      <c r="AP20" s="174"/>
      <c r="AQ20" s="174"/>
      <c r="AR20" s="174"/>
      <c r="AS20" s="174"/>
      <c r="AT20" s="174"/>
    </row>
    <row r="21" spans="1:49" s="175" customFormat="1" ht="117.75" customHeight="1" x14ac:dyDescent="0.2">
      <c r="A21" s="184">
        <v>13</v>
      </c>
      <c r="B21" s="144" t="s">
        <v>460</v>
      </c>
      <c r="C21" s="158">
        <v>44170</v>
      </c>
      <c r="D21" s="147" t="s">
        <v>461</v>
      </c>
      <c r="E21" s="147" t="s">
        <v>462</v>
      </c>
      <c r="F21" s="147"/>
      <c r="G21" s="147" t="s">
        <v>463</v>
      </c>
      <c r="H21" s="147" t="s">
        <v>377</v>
      </c>
      <c r="I21" s="149" t="s">
        <v>459</v>
      </c>
      <c r="J21" s="151"/>
      <c r="K21" s="151"/>
      <c r="L21" s="151"/>
      <c r="M21" s="151"/>
      <c r="N21" s="151"/>
      <c r="O21" s="177"/>
      <c r="P21" s="174"/>
      <c r="Q21" s="174"/>
      <c r="R21" s="174"/>
      <c r="S21" s="174"/>
      <c r="T21" s="174"/>
      <c r="U21" s="174"/>
      <c r="V21" s="174"/>
      <c r="W21" s="174"/>
      <c r="X21" s="174"/>
      <c r="Y21" s="174"/>
      <c r="Z21" s="174"/>
      <c r="AA21" s="174"/>
      <c r="AB21" s="174"/>
      <c r="AC21" s="174"/>
      <c r="AD21" s="174"/>
      <c r="AE21" s="174"/>
      <c r="AF21" s="174"/>
      <c r="AG21" s="174"/>
      <c r="AH21" s="174"/>
      <c r="AI21" s="174"/>
      <c r="AJ21" s="174"/>
      <c r="AK21" s="174"/>
      <c r="AL21" s="174"/>
      <c r="AM21" s="174"/>
      <c r="AN21" s="174"/>
      <c r="AO21" s="174"/>
      <c r="AP21" s="174"/>
      <c r="AQ21" s="174"/>
      <c r="AR21" s="174"/>
      <c r="AS21" s="174"/>
      <c r="AT21" s="174"/>
    </row>
    <row r="22" spans="1:49" s="175" customFormat="1" ht="97.5" customHeight="1" x14ac:dyDescent="0.2">
      <c r="A22" s="184">
        <v>14</v>
      </c>
      <c r="B22" s="144" t="s">
        <v>464</v>
      </c>
      <c r="C22" s="158">
        <v>44170</v>
      </c>
      <c r="D22" s="147" t="s">
        <v>465</v>
      </c>
      <c r="E22" s="147" t="s">
        <v>466</v>
      </c>
      <c r="F22" s="147"/>
      <c r="G22" s="147" t="s">
        <v>467</v>
      </c>
      <c r="H22" s="147" t="s">
        <v>377</v>
      </c>
      <c r="I22" s="149" t="s">
        <v>468</v>
      </c>
      <c r="J22" s="151"/>
      <c r="K22" s="151"/>
      <c r="L22" s="151"/>
      <c r="M22" s="151"/>
      <c r="N22" s="151"/>
      <c r="O22" s="177"/>
      <c r="P22" s="174"/>
      <c r="Q22" s="174"/>
      <c r="R22" s="174"/>
      <c r="S22" s="174"/>
      <c r="T22" s="174"/>
      <c r="U22" s="174"/>
      <c r="V22" s="174"/>
      <c r="W22" s="174"/>
      <c r="X22" s="174"/>
      <c r="Y22" s="174"/>
      <c r="Z22" s="174"/>
      <c r="AA22" s="174"/>
      <c r="AB22" s="174"/>
      <c r="AC22" s="174"/>
      <c r="AD22" s="174"/>
      <c r="AE22" s="174"/>
      <c r="AF22" s="174"/>
      <c r="AG22" s="174"/>
      <c r="AH22" s="174"/>
      <c r="AI22" s="174"/>
      <c r="AJ22" s="174"/>
      <c r="AK22" s="174"/>
      <c r="AL22" s="174"/>
      <c r="AM22" s="174"/>
      <c r="AN22" s="174"/>
      <c r="AO22" s="174"/>
      <c r="AP22" s="174"/>
      <c r="AQ22" s="174"/>
      <c r="AR22" s="174"/>
      <c r="AS22" s="174"/>
      <c r="AT22" s="174"/>
    </row>
    <row r="23" spans="1:49" s="175" customFormat="1" x14ac:dyDescent="0.2">
      <c r="A23" s="184"/>
      <c r="B23" s="144"/>
      <c r="C23" s="158"/>
      <c r="D23" s="147"/>
      <c r="E23" s="147"/>
      <c r="F23" s="147"/>
      <c r="G23" s="147"/>
      <c r="H23" s="151"/>
      <c r="I23" s="149"/>
      <c r="J23" s="151"/>
      <c r="K23" s="151"/>
      <c r="L23" s="151"/>
      <c r="M23" s="151"/>
      <c r="N23" s="151"/>
      <c r="O23" s="177"/>
      <c r="P23" s="174"/>
      <c r="Q23" s="174"/>
      <c r="R23" s="174"/>
      <c r="S23" s="174"/>
      <c r="T23" s="174"/>
      <c r="U23" s="174"/>
      <c r="V23" s="174"/>
      <c r="W23" s="174"/>
      <c r="X23" s="174"/>
      <c r="Y23" s="174"/>
      <c r="Z23" s="174"/>
      <c r="AA23" s="174"/>
      <c r="AB23" s="174"/>
      <c r="AC23" s="174"/>
      <c r="AD23" s="174"/>
      <c r="AE23" s="174"/>
      <c r="AF23" s="174"/>
      <c r="AG23" s="174"/>
      <c r="AH23" s="174"/>
      <c r="AI23" s="174"/>
      <c r="AJ23" s="174"/>
      <c r="AK23" s="174"/>
      <c r="AL23" s="174"/>
      <c r="AM23" s="174"/>
      <c r="AN23" s="174"/>
      <c r="AO23" s="174"/>
      <c r="AP23" s="174"/>
      <c r="AQ23" s="174"/>
      <c r="AR23" s="174"/>
      <c r="AS23" s="174"/>
      <c r="AT23" s="174"/>
    </row>
    <row r="24" spans="1:49" s="175" customFormat="1" x14ac:dyDescent="0.2">
      <c r="A24" s="184"/>
      <c r="B24" s="144"/>
      <c r="C24" s="158"/>
      <c r="D24" s="147"/>
      <c r="E24" s="147"/>
      <c r="F24" s="147"/>
      <c r="G24" s="147"/>
      <c r="H24" s="151"/>
      <c r="I24" s="149"/>
      <c r="J24" s="151"/>
      <c r="K24" s="151"/>
      <c r="L24" s="151"/>
      <c r="M24" s="151"/>
      <c r="N24" s="151"/>
      <c r="O24" s="177"/>
      <c r="P24" s="174"/>
      <c r="Q24" s="174"/>
      <c r="R24" s="174"/>
      <c r="S24" s="174"/>
      <c r="T24" s="174"/>
      <c r="U24" s="174"/>
      <c r="V24" s="174"/>
      <c r="W24" s="174"/>
      <c r="X24" s="174"/>
      <c r="Y24" s="174"/>
      <c r="Z24" s="174"/>
      <c r="AA24" s="174"/>
      <c r="AB24" s="174"/>
      <c r="AC24" s="174"/>
      <c r="AD24" s="174"/>
      <c r="AE24" s="174"/>
      <c r="AF24" s="174"/>
      <c r="AG24" s="174"/>
      <c r="AH24" s="174"/>
      <c r="AI24" s="174"/>
      <c r="AJ24" s="174"/>
      <c r="AK24" s="174"/>
      <c r="AL24" s="174"/>
      <c r="AM24" s="174"/>
      <c r="AN24" s="174"/>
      <c r="AO24" s="174"/>
      <c r="AP24" s="174"/>
      <c r="AQ24" s="174"/>
      <c r="AR24" s="174"/>
      <c r="AS24" s="174"/>
      <c r="AT24" s="174"/>
    </row>
    <row r="25" spans="1:49" s="175" customFormat="1" x14ac:dyDescent="0.2">
      <c r="A25" s="184"/>
      <c r="B25" s="144"/>
      <c r="C25" s="158"/>
      <c r="D25" s="147"/>
      <c r="E25" s="147"/>
      <c r="F25" s="147"/>
      <c r="G25" s="147"/>
      <c r="H25" s="151"/>
      <c r="I25" s="149"/>
      <c r="J25" s="151"/>
      <c r="K25" s="151"/>
      <c r="L25" s="151"/>
      <c r="M25" s="151"/>
      <c r="N25" s="151"/>
      <c r="O25" s="177"/>
      <c r="P25" s="174"/>
      <c r="Q25" s="174"/>
      <c r="R25" s="174"/>
      <c r="S25" s="174"/>
      <c r="T25" s="174"/>
      <c r="U25" s="174"/>
      <c r="V25" s="174"/>
      <c r="W25" s="174"/>
      <c r="X25" s="174"/>
      <c r="Y25" s="174"/>
      <c r="Z25" s="174"/>
      <c r="AA25" s="174"/>
      <c r="AB25" s="174"/>
      <c r="AC25" s="174"/>
      <c r="AD25" s="174"/>
      <c r="AE25" s="174"/>
      <c r="AF25" s="174"/>
      <c r="AG25" s="174"/>
      <c r="AH25" s="174"/>
      <c r="AI25" s="174"/>
      <c r="AJ25" s="174"/>
      <c r="AK25" s="174"/>
      <c r="AL25" s="174"/>
      <c r="AM25" s="174"/>
      <c r="AN25" s="174"/>
      <c r="AO25" s="174"/>
      <c r="AP25" s="174"/>
      <c r="AQ25" s="174"/>
      <c r="AR25" s="174"/>
      <c r="AS25" s="174"/>
      <c r="AT25" s="174"/>
    </row>
    <row r="26" spans="1:49" s="175" customFormat="1" x14ac:dyDescent="0.2">
      <c r="A26" s="184"/>
      <c r="B26" s="144"/>
      <c r="C26" s="158"/>
      <c r="D26" s="147"/>
      <c r="E26" s="147"/>
      <c r="F26" s="147"/>
      <c r="G26" s="147"/>
      <c r="H26" s="151"/>
      <c r="I26" s="149"/>
      <c r="J26" s="151"/>
      <c r="K26" s="151"/>
      <c r="L26" s="151"/>
      <c r="M26" s="151"/>
      <c r="N26" s="151"/>
      <c r="O26" s="177"/>
      <c r="P26" s="174"/>
      <c r="Q26" s="174"/>
      <c r="R26" s="174"/>
      <c r="S26" s="174"/>
      <c r="T26" s="174"/>
      <c r="U26" s="174"/>
      <c r="V26" s="174"/>
      <c r="W26" s="174"/>
      <c r="X26" s="174"/>
      <c r="Y26" s="174"/>
      <c r="Z26" s="174"/>
      <c r="AA26" s="174"/>
      <c r="AB26" s="174"/>
      <c r="AC26" s="174"/>
      <c r="AD26" s="174"/>
      <c r="AE26" s="174"/>
      <c r="AF26" s="174"/>
      <c r="AG26" s="174"/>
      <c r="AH26" s="174"/>
      <c r="AI26" s="174"/>
      <c r="AJ26" s="174"/>
      <c r="AK26" s="174"/>
      <c r="AL26" s="174"/>
      <c r="AM26" s="174"/>
      <c r="AN26" s="174"/>
      <c r="AO26" s="174"/>
      <c r="AP26" s="174"/>
      <c r="AQ26" s="174"/>
      <c r="AR26" s="174"/>
      <c r="AS26" s="174"/>
      <c r="AT26" s="174"/>
    </row>
    <row r="27" spans="1:49" s="175" customFormat="1" x14ac:dyDescent="0.2">
      <c r="A27" s="184"/>
      <c r="B27" s="144"/>
      <c r="C27" s="158"/>
      <c r="D27" s="147"/>
      <c r="E27" s="147"/>
      <c r="F27" s="147"/>
      <c r="G27" s="147"/>
      <c r="H27" s="151"/>
      <c r="I27" s="149"/>
      <c r="J27" s="151"/>
      <c r="K27" s="151"/>
      <c r="L27" s="151"/>
      <c r="M27" s="151"/>
      <c r="N27" s="151"/>
      <c r="O27" s="177"/>
      <c r="P27" s="174"/>
      <c r="Q27" s="174"/>
      <c r="R27" s="174"/>
      <c r="S27" s="174"/>
      <c r="T27" s="174"/>
      <c r="U27" s="174"/>
      <c r="V27" s="174"/>
      <c r="W27" s="174"/>
      <c r="X27" s="174"/>
      <c r="Y27" s="174"/>
      <c r="Z27" s="174"/>
      <c r="AA27" s="174"/>
      <c r="AB27" s="174"/>
      <c r="AC27" s="174"/>
      <c r="AD27" s="174"/>
      <c r="AE27" s="174"/>
      <c r="AF27" s="174"/>
      <c r="AG27" s="174"/>
      <c r="AH27" s="174"/>
      <c r="AI27" s="174"/>
      <c r="AJ27" s="174"/>
      <c r="AK27" s="174"/>
      <c r="AL27" s="174"/>
      <c r="AM27" s="174"/>
      <c r="AN27" s="174"/>
      <c r="AO27" s="174"/>
      <c r="AP27" s="174"/>
      <c r="AQ27" s="174"/>
      <c r="AR27" s="174"/>
      <c r="AS27" s="174"/>
      <c r="AT27" s="174"/>
    </row>
    <row r="28" spans="1:49" s="175" customFormat="1" x14ac:dyDescent="0.2">
      <c r="A28" s="184"/>
      <c r="B28" s="144"/>
      <c r="C28" s="158"/>
      <c r="D28" s="147"/>
      <c r="E28" s="147"/>
      <c r="F28" s="147"/>
      <c r="G28" s="147"/>
      <c r="H28" s="151"/>
      <c r="I28" s="149"/>
      <c r="J28" s="151"/>
      <c r="K28" s="151"/>
      <c r="L28" s="151"/>
      <c r="M28" s="151"/>
      <c r="N28" s="151"/>
      <c r="O28" s="177"/>
      <c r="P28" s="174"/>
      <c r="Q28" s="174"/>
      <c r="R28" s="174"/>
      <c r="S28" s="174"/>
      <c r="T28" s="174"/>
      <c r="U28" s="174"/>
      <c r="V28" s="174"/>
      <c r="W28" s="174"/>
      <c r="X28" s="174"/>
      <c r="Y28" s="174"/>
      <c r="Z28" s="174"/>
      <c r="AA28" s="174"/>
      <c r="AB28" s="174"/>
      <c r="AC28" s="174"/>
      <c r="AD28" s="174"/>
      <c r="AE28" s="174"/>
      <c r="AF28" s="174"/>
      <c r="AG28" s="174"/>
      <c r="AH28" s="174"/>
      <c r="AI28" s="174"/>
      <c r="AJ28" s="174"/>
      <c r="AK28" s="174"/>
      <c r="AL28" s="174"/>
      <c r="AM28" s="174"/>
      <c r="AN28" s="174"/>
      <c r="AO28" s="174"/>
      <c r="AP28" s="174"/>
      <c r="AQ28" s="174"/>
      <c r="AR28" s="174"/>
      <c r="AS28" s="174"/>
      <c r="AT28" s="174"/>
    </row>
    <row r="29" spans="1:49" s="144" customFormat="1" x14ac:dyDescent="0.2">
      <c r="A29" s="184"/>
      <c r="C29" s="154"/>
      <c r="I29" s="149"/>
      <c r="O29" s="178"/>
      <c r="P29" s="178"/>
      <c r="Q29" s="178"/>
      <c r="R29" s="178"/>
      <c r="S29" s="178"/>
      <c r="T29" s="178"/>
      <c r="U29" s="178"/>
      <c r="V29" s="178"/>
      <c r="W29" s="178"/>
      <c r="X29" s="178"/>
      <c r="Y29" s="178"/>
      <c r="Z29" s="178"/>
      <c r="AA29" s="178"/>
      <c r="AB29" s="178"/>
      <c r="AC29" s="178"/>
      <c r="AD29" s="178"/>
      <c r="AE29" s="178"/>
      <c r="AF29" s="178"/>
      <c r="AG29" s="178"/>
      <c r="AH29" s="178"/>
      <c r="AI29" s="178"/>
      <c r="AJ29" s="178"/>
      <c r="AK29" s="178"/>
      <c r="AL29" s="178"/>
      <c r="AM29" s="178"/>
      <c r="AN29" s="178"/>
      <c r="AO29" s="178"/>
      <c r="AP29" s="178"/>
      <c r="AQ29" s="178"/>
      <c r="AR29" s="178"/>
      <c r="AS29" s="178"/>
      <c r="AT29" s="178"/>
    </row>
    <row r="30" spans="1:49" s="144" customFormat="1" x14ac:dyDescent="0.2">
      <c r="A30" s="184"/>
      <c r="C30" s="154"/>
      <c r="I30" s="149"/>
      <c r="O30" s="178"/>
      <c r="P30" s="178"/>
      <c r="Q30" s="178"/>
      <c r="R30" s="178"/>
      <c r="S30" s="178"/>
      <c r="T30" s="178"/>
      <c r="U30" s="178"/>
      <c r="V30" s="178"/>
      <c r="W30" s="178"/>
      <c r="X30" s="178"/>
      <c r="Y30" s="178"/>
      <c r="Z30" s="178"/>
      <c r="AA30" s="178"/>
      <c r="AB30" s="178"/>
      <c r="AC30" s="178"/>
      <c r="AD30" s="178"/>
      <c r="AE30" s="178"/>
      <c r="AF30" s="178"/>
      <c r="AG30" s="178"/>
      <c r="AH30" s="178"/>
      <c r="AI30" s="178"/>
      <c r="AJ30" s="178"/>
      <c r="AK30" s="178"/>
      <c r="AL30" s="178"/>
      <c r="AM30" s="178"/>
      <c r="AN30" s="178"/>
      <c r="AO30" s="178"/>
      <c r="AP30" s="178"/>
      <c r="AQ30" s="178"/>
      <c r="AR30" s="178"/>
      <c r="AS30" s="178"/>
      <c r="AT30" s="178"/>
    </row>
    <row r="31" spans="1:49" s="144" customFormat="1" x14ac:dyDescent="0.2">
      <c r="A31" s="184"/>
      <c r="C31" s="154"/>
      <c r="I31" s="149"/>
      <c r="O31" s="178"/>
      <c r="P31" s="178"/>
      <c r="Q31" s="178"/>
      <c r="R31" s="178"/>
      <c r="S31" s="178"/>
      <c r="T31" s="178"/>
      <c r="U31" s="178"/>
      <c r="V31" s="178"/>
      <c r="W31" s="178"/>
      <c r="X31" s="178"/>
      <c r="Y31" s="178"/>
      <c r="Z31" s="178"/>
      <c r="AA31" s="178"/>
      <c r="AB31" s="178"/>
      <c r="AC31" s="178"/>
      <c r="AD31" s="178"/>
      <c r="AE31" s="178"/>
      <c r="AF31" s="178"/>
      <c r="AG31" s="178"/>
      <c r="AH31" s="178"/>
      <c r="AI31" s="178"/>
      <c r="AJ31" s="178"/>
      <c r="AK31" s="178"/>
      <c r="AL31" s="178"/>
      <c r="AM31" s="178"/>
      <c r="AN31" s="178"/>
      <c r="AO31" s="178"/>
      <c r="AP31" s="178"/>
      <c r="AQ31" s="178"/>
      <c r="AR31" s="178"/>
      <c r="AS31" s="178"/>
      <c r="AT31" s="178"/>
    </row>
    <row r="32" spans="1:49" s="175" customFormat="1" x14ac:dyDescent="0.2">
      <c r="A32" s="184"/>
      <c r="B32" s="144"/>
      <c r="C32" s="158"/>
      <c r="D32" s="147"/>
      <c r="E32" s="147"/>
      <c r="F32" s="147"/>
      <c r="G32" s="147"/>
      <c r="H32" s="151"/>
      <c r="I32" s="149"/>
      <c r="J32" s="151"/>
      <c r="K32" s="151"/>
      <c r="L32" s="151"/>
      <c r="M32" s="151"/>
      <c r="N32" s="151"/>
      <c r="O32" s="177"/>
      <c r="P32" s="174"/>
      <c r="Q32" s="174"/>
      <c r="R32" s="174"/>
      <c r="S32" s="174"/>
      <c r="T32" s="174"/>
      <c r="U32" s="174"/>
      <c r="V32" s="174"/>
      <c r="W32" s="174"/>
      <c r="X32" s="174"/>
      <c r="Y32" s="174"/>
      <c r="Z32" s="174"/>
      <c r="AA32" s="174"/>
      <c r="AB32" s="174"/>
      <c r="AC32" s="174"/>
      <c r="AD32" s="174"/>
      <c r="AE32" s="174"/>
      <c r="AF32" s="174"/>
      <c r="AG32" s="174"/>
      <c r="AH32" s="174"/>
      <c r="AI32" s="174"/>
      <c r="AJ32" s="174"/>
      <c r="AK32" s="174"/>
      <c r="AL32" s="174"/>
      <c r="AM32" s="174"/>
      <c r="AN32" s="174"/>
      <c r="AO32" s="174"/>
      <c r="AP32" s="174"/>
      <c r="AQ32" s="174"/>
      <c r="AR32" s="174"/>
      <c r="AS32" s="174"/>
      <c r="AT32" s="174"/>
    </row>
    <row r="33" spans="1:49" s="144" customFormat="1" x14ac:dyDescent="0.2">
      <c r="A33" s="184"/>
      <c r="C33" s="154"/>
      <c r="I33" s="149"/>
      <c r="O33" s="178"/>
      <c r="P33" s="178"/>
      <c r="Q33" s="178"/>
      <c r="R33" s="178"/>
      <c r="S33" s="178"/>
      <c r="T33" s="178"/>
      <c r="U33" s="178"/>
      <c r="V33" s="178"/>
      <c r="W33" s="178"/>
      <c r="X33" s="178"/>
      <c r="Y33" s="178"/>
      <c r="Z33" s="178"/>
      <c r="AA33" s="178"/>
      <c r="AB33" s="178"/>
      <c r="AC33" s="178"/>
      <c r="AD33" s="178"/>
      <c r="AE33" s="178"/>
      <c r="AF33" s="178"/>
      <c r="AG33" s="178"/>
      <c r="AH33" s="178"/>
      <c r="AI33" s="178"/>
      <c r="AJ33" s="178"/>
      <c r="AK33" s="178"/>
      <c r="AL33" s="178"/>
      <c r="AM33" s="178"/>
      <c r="AN33" s="178"/>
      <c r="AO33" s="178"/>
      <c r="AP33" s="178"/>
      <c r="AQ33" s="178"/>
      <c r="AR33" s="178"/>
      <c r="AS33" s="178"/>
      <c r="AT33" s="178"/>
    </row>
    <row r="34" spans="1:49" s="144" customFormat="1" x14ac:dyDescent="0.2">
      <c r="A34" s="184"/>
      <c r="C34" s="154"/>
      <c r="I34" s="149"/>
      <c r="O34" s="178"/>
      <c r="P34" s="178"/>
      <c r="Q34" s="178"/>
      <c r="R34" s="178"/>
      <c r="S34" s="178"/>
      <c r="T34" s="178"/>
      <c r="U34" s="178"/>
      <c r="V34" s="178"/>
      <c r="W34" s="178"/>
      <c r="X34" s="178"/>
      <c r="Y34" s="178"/>
      <c r="Z34" s="178"/>
      <c r="AA34" s="178"/>
      <c r="AB34" s="178"/>
      <c r="AC34" s="178"/>
      <c r="AD34" s="178"/>
      <c r="AE34" s="178"/>
      <c r="AF34" s="178"/>
      <c r="AG34" s="178"/>
      <c r="AH34" s="178"/>
      <c r="AI34" s="178"/>
      <c r="AJ34" s="178"/>
      <c r="AK34" s="178"/>
      <c r="AL34" s="178"/>
      <c r="AM34" s="178"/>
      <c r="AN34" s="178"/>
      <c r="AO34" s="178"/>
      <c r="AP34" s="178"/>
      <c r="AQ34" s="178"/>
      <c r="AR34" s="178"/>
      <c r="AS34" s="178"/>
      <c r="AT34" s="178"/>
    </row>
    <row r="35" spans="1:49" s="179" customFormat="1" x14ac:dyDescent="0.2">
      <c r="A35" s="184"/>
      <c r="B35" s="144"/>
      <c r="C35" s="154"/>
      <c r="D35" s="144"/>
      <c r="E35" s="138"/>
      <c r="F35" s="138"/>
      <c r="G35" s="138"/>
      <c r="I35" s="149"/>
      <c r="O35" s="180"/>
      <c r="P35" s="174"/>
      <c r="Q35" s="174"/>
      <c r="R35" s="174"/>
      <c r="S35" s="174"/>
      <c r="T35" s="174"/>
      <c r="U35" s="174"/>
      <c r="V35" s="174"/>
      <c r="W35" s="174"/>
      <c r="X35" s="174"/>
      <c r="Y35" s="174"/>
      <c r="Z35" s="174"/>
      <c r="AA35" s="174"/>
      <c r="AB35" s="174"/>
      <c r="AC35" s="174"/>
      <c r="AD35" s="174"/>
      <c r="AE35" s="174"/>
      <c r="AF35" s="174"/>
      <c r="AG35" s="174"/>
      <c r="AH35" s="174"/>
      <c r="AI35" s="174"/>
      <c r="AJ35" s="174"/>
      <c r="AK35" s="174"/>
      <c r="AL35" s="174"/>
      <c r="AM35" s="174"/>
      <c r="AN35" s="174"/>
      <c r="AO35" s="174"/>
      <c r="AP35" s="180"/>
      <c r="AQ35" s="180"/>
      <c r="AR35" s="180"/>
      <c r="AS35" s="180"/>
      <c r="AT35" s="180"/>
      <c r="AU35" s="180"/>
      <c r="AV35" s="180"/>
      <c r="AW35" s="180"/>
    </row>
    <row r="36" spans="1:49" s="179" customFormat="1" x14ac:dyDescent="0.2">
      <c r="A36" s="184"/>
      <c r="B36" s="144"/>
      <c r="C36" s="154"/>
      <c r="D36" s="144"/>
      <c r="E36" s="138"/>
      <c r="F36" s="138"/>
      <c r="G36" s="138"/>
      <c r="I36" s="149"/>
      <c r="O36" s="180"/>
      <c r="P36" s="174"/>
      <c r="Q36" s="174"/>
      <c r="R36" s="174"/>
      <c r="S36" s="174"/>
      <c r="T36" s="174"/>
      <c r="U36" s="174"/>
      <c r="V36" s="174"/>
      <c r="W36" s="174"/>
      <c r="X36" s="174"/>
      <c r="Y36" s="174"/>
      <c r="Z36" s="174"/>
      <c r="AA36" s="174"/>
      <c r="AB36" s="174"/>
      <c r="AC36" s="174"/>
      <c r="AD36" s="174"/>
      <c r="AE36" s="174"/>
      <c r="AF36" s="174"/>
      <c r="AG36" s="174"/>
      <c r="AH36" s="174"/>
      <c r="AI36" s="174"/>
      <c r="AJ36" s="174"/>
      <c r="AK36" s="174"/>
      <c r="AL36" s="174"/>
      <c r="AM36" s="174"/>
      <c r="AN36" s="174"/>
      <c r="AO36" s="174"/>
      <c r="AP36" s="180"/>
      <c r="AQ36" s="180"/>
      <c r="AR36" s="180"/>
      <c r="AS36" s="180"/>
      <c r="AT36" s="180"/>
      <c r="AU36" s="180"/>
      <c r="AV36" s="180"/>
      <c r="AW36" s="180"/>
    </row>
    <row r="37" spans="1:49" s="179" customFormat="1" x14ac:dyDescent="0.2">
      <c r="A37" s="184"/>
      <c r="B37" s="144"/>
      <c r="C37" s="154"/>
      <c r="D37" s="144"/>
      <c r="E37" s="138"/>
      <c r="F37" s="138"/>
      <c r="G37" s="138"/>
      <c r="I37" s="149"/>
      <c r="O37" s="180"/>
      <c r="P37" s="174"/>
      <c r="Q37" s="174"/>
      <c r="R37" s="174"/>
      <c r="S37" s="174"/>
      <c r="T37" s="174"/>
      <c r="U37" s="174"/>
      <c r="V37" s="174"/>
      <c r="W37" s="174"/>
      <c r="X37" s="174"/>
      <c r="Y37" s="174"/>
      <c r="Z37" s="174"/>
      <c r="AA37" s="174"/>
      <c r="AB37" s="174"/>
      <c r="AC37" s="174"/>
      <c r="AD37" s="174"/>
      <c r="AE37" s="174"/>
      <c r="AF37" s="174"/>
      <c r="AG37" s="174"/>
      <c r="AH37" s="174"/>
      <c r="AI37" s="174"/>
      <c r="AJ37" s="174"/>
      <c r="AK37" s="174"/>
      <c r="AL37" s="174"/>
      <c r="AM37" s="174"/>
      <c r="AN37" s="174"/>
      <c r="AO37" s="174"/>
      <c r="AP37" s="180"/>
      <c r="AQ37" s="180"/>
      <c r="AR37" s="180"/>
      <c r="AS37" s="180"/>
      <c r="AT37" s="180"/>
      <c r="AU37" s="180"/>
      <c r="AV37" s="180"/>
      <c r="AW37" s="180"/>
    </row>
    <row r="38" spans="1:49" s="179" customFormat="1" x14ac:dyDescent="0.2">
      <c r="A38" s="184"/>
      <c r="B38" s="144"/>
      <c r="C38" s="154"/>
      <c r="D38" s="144"/>
      <c r="E38" s="138"/>
      <c r="F38" s="138"/>
      <c r="G38" s="138"/>
      <c r="I38" s="149"/>
      <c r="O38" s="180"/>
      <c r="P38" s="174"/>
      <c r="Q38" s="174"/>
      <c r="R38" s="174"/>
      <c r="S38" s="174"/>
      <c r="T38" s="174"/>
      <c r="U38" s="174"/>
      <c r="V38" s="174"/>
      <c r="W38" s="174"/>
      <c r="X38" s="174"/>
      <c r="Y38" s="174"/>
      <c r="Z38" s="174"/>
      <c r="AA38" s="174"/>
      <c r="AB38" s="174"/>
      <c r="AC38" s="174"/>
      <c r="AD38" s="174"/>
      <c r="AE38" s="174"/>
      <c r="AF38" s="174"/>
      <c r="AG38" s="174"/>
      <c r="AH38" s="174"/>
      <c r="AI38" s="174"/>
      <c r="AJ38" s="174"/>
      <c r="AK38" s="174"/>
      <c r="AL38" s="174"/>
      <c r="AM38" s="174"/>
      <c r="AN38" s="174"/>
      <c r="AO38" s="174"/>
      <c r="AP38" s="180"/>
      <c r="AQ38" s="180"/>
      <c r="AR38" s="180"/>
      <c r="AS38" s="180"/>
      <c r="AT38" s="180"/>
      <c r="AU38" s="180"/>
      <c r="AV38" s="180"/>
      <c r="AW38" s="180"/>
    </row>
    <row r="39" spans="1:49" s="179" customFormat="1" x14ac:dyDescent="0.2">
      <c r="A39" s="184"/>
      <c r="B39" s="144"/>
      <c r="C39" s="154"/>
      <c r="D39" s="144"/>
      <c r="E39" s="138"/>
      <c r="F39" s="138"/>
      <c r="G39" s="138"/>
      <c r="I39" s="149"/>
      <c r="O39" s="180"/>
      <c r="P39" s="174"/>
      <c r="Q39" s="174"/>
      <c r="R39" s="174"/>
      <c r="S39" s="174"/>
      <c r="T39" s="174"/>
      <c r="U39" s="174"/>
      <c r="V39" s="174"/>
      <c r="W39" s="174"/>
      <c r="X39" s="174"/>
      <c r="Y39" s="174"/>
      <c r="Z39" s="174"/>
      <c r="AA39" s="174"/>
      <c r="AB39" s="174"/>
      <c r="AC39" s="174"/>
      <c r="AD39" s="174"/>
      <c r="AE39" s="174"/>
      <c r="AF39" s="174"/>
      <c r="AG39" s="174"/>
      <c r="AH39" s="174"/>
      <c r="AI39" s="174"/>
      <c r="AJ39" s="174"/>
      <c r="AK39" s="174"/>
      <c r="AL39" s="174"/>
      <c r="AM39" s="174"/>
      <c r="AN39" s="174"/>
      <c r="AO39" s="174"/>
      <c r="AP39" s="180"/>
      <c r="AQ39" s="180"/>
      <c r="AR39" s="180"/>
      <c r="AS39" s="180"/>
      <c r="AT39" s="180"/>
      <c r="AU39" s="180"/>
      <c r="AV39" s="180"/>
      <c r="AW39" s="180"/>
    </row>
    <row r="40" spans="1:49" s="179" customFormat="1" x14ac:dyDescent="0.2">
      <c r="A40" s="184"/>
      <c r="B40" s="144"/>
      <c r="C40" s="154"/>
      <c r="D40" s="144"/>
      <c r="E40" s="138"/>
      <c r="F40" s="138"/>
      <c r="G40" s="138"/>
      <c r="I40" s="149"/>
      <c r="O40" s="180"/>
      <c r="P40" s="174"/>
      <c r="Q40" s="174"/>
      <c r="R40" s="174"/>
      <c r="S40" s="174"/>
      <c r="T40" s="174"/>
      <c r="U40" s="174"/>
      <c r="V40" s="174"/>
      <c r="W40" s="174"/>
      <c r="X40" s="174"/>
      <c r="Y40" s="174"/>
      <c r="Z40" s="174"/>
      <c r="AA40" s="174"/>
      <c r="AB40" s="174"/>
      <c r="AC40" s="174"/>
      <c r="AD40" s="174"/>
      <c r="AE40" s="174"/>
      <c r="AF40" s="174"/>
      <c r="AG40" s="174"/>
      <c r="AH40" s="174"/>
      <c r="AI40" s="174"/>
      <c r="AJ40" s="174"/>
      <c r="AK40" s="174"/>
      <c r="AL40" s="174"/>
      <c r="AM40" s="174"/>
      <c r="AN40" s="174"/>
      <c r="AO40" s="174"/>
      <c r="AP40" s="180"/>
      <c r="AQ40" s="180"/>
      <c r="AR40" s="180"/>
      <c r="AS40" s="180"/>
      <c r="AT40" s="180"/>
      <c r="AU40" s="180"/>
      <c r="AV40" s="180"/>
      <c r="AW40" s="180"/>
    </row>
    <row r="41" spans="1:49" s="176" customFormat="1" x14ac:dyDescent="0.2">
      <c r="A41" s="184"/>
      <c r="B41" s="144"/>
      <c r="C41" s="154"/>
      <c r="D41" s="144"/>
      <c r="E41" s="178"/>
      <c r="F41" s="144"/>
      <c r="G41" s="178"/>
      <c r="I41" s="149"/>
      <c r="P41" s="174"/>
      <c r="Q41" s="174"/>
      <c r="R41" s="174"/>
      <c r="S41" s="174"/>
      <c r="T41" s="174"/>
      <c r="U41" s="174"/>
      <c r="V41" s="174"/>
      <c r="W41" s="174"/>
      <c r="X41" s="174"/>
      <c r="Y41" s="174"/>
      <c r="Z41" s="174"/>
      <c r="AA41" s="174"/>
      <c r="AB41" s="174"/>
      <c r="AC41" s="174"/>
      <c r="AD41" s="174"/>
      <c r="AE41" s="174"/>
      <c r="AF41" s="174"/>
      <c r="AG41" s="174"/>
      <c r="AH41" s="174"/>
      <c r="AI41" s="174"/>
      <c r="AJ41" s="174"/>
      <c r="AK41" s="174"/>
      <c r="AL41" s="174"/>
      <c r="AM41" s="174"/>
      <c r="AN41" s="174"/>
      <c r="AO41" s="174"/>
    </row>
    <row r="42" spans="1:49" s="176" customFormat="1" x14ac:dyDescent="0.2">
      <c r="A42" s="184"/>
      <c r="B42" s="144"/>
      <c r="C42" s="154"/>
      <c r="D42" s="144"/>
      <c r="E42" s="178"/>
      <c r="F42" s="144"/>
      <c r="G42" s="178"/>
      <c r="I42" s="149"/>
      <c r="P42" s="174"/>
      <c r="Q42" s="174"/>
      <c r="R42" s="174"/>
      <c r="S42" s="174"/>
      <c r="T42" s="174"/>
      <c r="U42" s="174"/>
      <c r="V42" s="174"/>
      <c r="W42" s="174"/>
      <c r="X42" s="174"/>
      <c r="Y42" s="174"/>
      <c r="Z42" s="174"/>
      <c r="AA42" s="174"/>
      <c r="AB42" s="174"/>
      <c r="AC42" s="174"/>
      <c r="AD42" s="174"/>
      <c r="AE42" s="174"/>
      <c r="AF42" s="174"/>
      <c r="AG42" s="174"/>
      <c r="AH42" s="174"/>
      <c r="AI42" s="174"/>
      <c r="AJ42" s="174"/>
      <c r="AK42" s="174"/>
      <c r="AL42" s="174"/>
      <c r="AM42" s="174"/>
      <c r="AN42" s="174"/>
      <c r="AO42" s="174"/>
    </row>
    <row r="43" spans="1:49" s="176" customFormat="1" x14ac:dyDescent="0.2">
      <c r="A43" s="184"/>
      <c r="B43" s="144"/>
      <c r="C43" s="154"/>
      <c r="D43" s="144"/>
      <c r="E43" s="178"/>
      <c r="F43" s="144"/>
      <c r="G43" s="178"/>
      <c r="I43" s="150"/>
      <c r="P43" s="174"/>
      <c r="Q43" s="174"/>
      <c r="R43" s="174"/>
      <c r="S43" s="174"/>
      <c r="T43" s="174"/>
      <c r="U43" s="174"/>
      <c r="V43" s="174"/>
      <c r="W43" s="174"/>
      <c r="X43" s="174"/>
      <c r="Y43" s="174"/>
      <c r="Z43" s="174"/>
      <c r="AA43" s="174"/>
      <c r="AB43" s="174"/>
      <c r="AC43" s="174"/>
      <c r="AD43" s="174"/>
      <c r="AE43" s="174"/>
      <c r="AF43" s="174"/>
      <c r="AG43" s="174"/>
      <c r="AH43" s="174"/>
      <c r="AI43" s="174"/>
      <c r="AJ43" s="174"/>
      <c r="AK43" s="174"/>
      <c r="AL43" s="174"/>
      <c r="AM43" s="174"/>
      <c r="AN43" s="174"/>
      <c r="AO43" s="174"/>
    </row>
    <row r="44" spans="1:49" s="176" customFormat="1" x14ac:dyDescent="0.2">
      <c r="A44" s="184"/>
      <c r="B44" s="144"/>
      <c r="C44" s="154"/>
      <c r="D44" s="144"/>
      <c r="E44" s="178"/>
      <c r="F44" s="144"/>
      <c r="G44" s="178"/>
      <c r="I44" s="149"/>
      <c r="P44" s="174"/>
      <c r="Q44" s="174"/>
      <c r="R44" s="174"/>
      <c r="S44" s="174"/>
      <c r="T44" s="174"/>
      <c r="U44" s="174"/>
      <c r="V44" s="174"/>
      <c r="W44" s="174"/>
      <c r="X44" s="174"/>
      <c r="Y44" s="174"/>
      <c r="Z44" s="174"/>
      <c r="AA44" s="174"/>
      <c r="AB44" s="174"/>
      <c r="AC44" s="174"/>
      <c r="AD44" s="174"/>
      <c r="AE44" s="174"/>
      <c r="AF44" s="174"/>
      <c r="AG44" s="174"/>
      <c r="AH44" s="174"/>
      <c r="AI44" s="174"/>
      <c r="AJ44" s="174"/>
      <c r="AK44" s="174"/>
      <c r="AL44" s="174"/>
      <c r="AM44" s="174"/>
      <c r="AN44" s="174"/>
      <c r="AO44" s="174"/>
    </row>
    <row r="45" spans="1:49" s="176" customFormat="1" x14ac:dyDescent="0.2">
      <c r="A45" s="184"/>
      <c r="B45" s="144"/>
      <c r="C45" s="154"/>
      <c r="D45" s="144"/>
      <c r="E45" s="178"/>
      <c r="F45" s="144"/>
      <c r="G45" s="178"/>
      <c r="I45" s="149"/>
      <c r="P45" s="174"/>
      <c r="Q45" s="174"/>
      <c r="R45" s="174"/>
      <c r="S45" s="174"/>
      <c r="T45" s="174"/>
      <c r="U45" s="174"/>
      <c r="V45" s="174"/>
      <c r="W45" s="174"/>
      <c r="X45" s="174"/>
      <c r="Y45" s="174"/>
      <c r="Z45" s="174"/>
      <c r="AA45" s="174"/>
      <c r="AB45" s="174"/>
      <c r="AC45" s="174"/>
      <c r="AD45" s="174"/>
      <c r="AE45" s="174"/>
      <c r="AF45" s="174"/>
      <c r="AG45" s="174"/>
      <c r="AH45" s="174"/>
      <c r="AI45" s="174"/>
      <c r="AJ45" s="174"/>
      <c r="AK45" s="174"/>
      <c r="AL45" s="174"/>
      <c r="AM45" s="174"/>
      <c r="AN45" s="174"/>
      <c r="AO45" s="174"/>
    </row>
    <row r="46" spans="1:49" s="176" customFormat="1" x14ac:dyDescent="0.2">
      <c r="A46" s="184"/>
      <c r="B46" s="144"/>
      <c r="C46" s="154"/>
      <c r="D46" s="144"/>
      <c r="E46" s="178"/>
      <c r="F46" s="144"/>
      <c r="G46" s="178"/>
      <c r="I46" s="149"/>
      <c r="P46" s="174"/>
      <c r="Q46" s="174"/>
      <c r="R46" s="174"/>
      <c r="S46" s="174"/>
      <c r="T46" s="174"/>
      <c r="U46" s="174"/>
      <c r="V46" s="174"/>
      <c r="W46" s="174"/>
      <c r="X46" s="174"/>
      <c r="Y46" s="174"/>
      <c r="Z46" s="174"/>
      <c r="AA46" s="174"/>
      <c r="AB46" s="174"/>
      <c r="AC46" s="174"/>
      <c r="AD46" s="174"/>
      <c r="AE46" s="174"/>
      <c r="AF46" s="174"/>
      <c r="AG46" s="174"/>
      <c r="AH46" s="174"/>
      <c r="AI46" s="174"/>
      <c r="AJ46" s="174"/>
      <c r="AK46" s="174"/>
      <c r="AL46" s="174"/>
      <c r="AM46" s="174"/>
      <c r="AN46" s="174"/>
      <c r="AO46" s="174"/>
    </row>
    <row r="47" spans="1:49" s="176" customFormat="1" x14ac:dyDescent="0.2">
      <c r="A47" s="184"/>
      <c r="B47" s="144"/>
      <c r="C47" s="154"/>
      <c r="D47" s="144"/>
      <c r="E47" s="178"/>
      <c r="F47" s="144"/>
      <c r="G47" s="178"/>
      <c r="I47" s="149"/>
      <c r="P47" s="174"/>
      <c r="Q47" s="174"/>
      <c r="R47" s="174"/>
      <c r="S47" s="174"/>
      <c r="T47" s="174"/>
      <c r="U47" s="174"/>
      <c r="V47" s="174"/>
      <c r="W47" s="174"/>
      <c r="X47" s="174"/>
      <c r="Y47" s="174"/>
      <c r="Z47" s="174"/>
      <c r="AA47" s="174"/>
      <c r="AB47" s="174"/>
      <c r="AC47" s="174"/>
      <c r="AD47" s="174"/>
      <c r="AE47" s="174"/>
      <c r="AF47" s="174"/>
      <c r="AG47" s="174"/>
      <c r="AH47" s="174"/>
      <c r="AI47" s="174"/>
      <c r="AJ47" s="174"/>
      <c r="AK47" s="174"/>
      <c r="AL47" s="174"/>
      <c r="AM47" s="174"/>
      <c r="AN47" s="174"/>
      <c r="AO47" s="174"/>
    </row>
    <row r="48" spans="1:49" s="179" customFormat="1" x14ac:dyDescent="0.2">
      <c r="A48" s="184"/>
      <c r="B48" s="144"/>
      <c r="C48" s="154"/>
      <c r="D48" s="144"/>
      <c r="E48" s="138"/>
      <c r="F48" s="138"/>
      <c r="G48" s="138"/>
      <c r="I48" s="149"/>
      <c r="O48" s="180"/>
      <c r="P48" s="174"/>
      <c r="Q48" s="174"/>
      <c r="R48" s="174"/>
      <c r="S48" s="174"/>
      <c r="T48" s="174"/>
      <c r="U48" s="174"/>
      <c r="V48" s="174"/>
      <c r="W48" s="174"/>
      <c r="X48" s="174"/>
      <c r="Y48" s="174"/>
      <c r="Z48" s="174"/>
      <c r="AA48" s="174"/>
      <c r="AB48" s="174"/>
      <c r="AC48" s="174"/>
      <c r="AD48" s="174"/>
      <c r="AE48" s="174"/>
      <c r="AF48" s="174"/>
      <c r="AG48" s="174"/>
      <c r="AH48" s="174"/>
      <c r="AI48" s="174"/>
      <c r="AJ48" s="174"/>
      <c r="AK48" s="174"/>
      <c r="AL48" s="174"/>
      <c r="AM48" s="174"/>
      <c r="AN48" s="174"/>
      <c r="AO48" s="174"/>
      <c r="AP48" s="180"/>
      <c r="AQ48" s="180"/>
      <c r="AR48" s="180"/>
      <c r="AS48" s="180"/>
      <c r="AT48" s="180"/>
      <c r="AU48" s="180"/>
      <c r="AV48" s="180"/>
      <c r="AW48" s="180"/>
    </row>
    <row r="49" spans="9:9" s="174" customFormat="1" x14ac:dyDescent="0.2">
      <c r="I49" s="181"/>
    </row>
    <row r="50" spans="9:9" s="174" customFormat="1" x14ac:dyDescent="0.2">
      <c r="I50" s="181"/>
    </row>
    <row r="51" spans="9:9" s="174" customFormat="1" x14ac:dyDescent="0.2">
      <c r="I51" s="181"/>
    </row>
    <row r="52" spans="9:9" s="174" customFormat="1" x14ac:dyDescent="0.2">
      <c r="I52" s="181"/>
    </row>
    <row r="53" spans="9:9" s="174" customFormat="1" x14ac:dyDescent="0.2">
      <c r="I53" s="181"/>
    </row>
    <row r="54" spans="9:9" s="174" customFormat="1" x14ac:dyDescent="0.2">
      <c r="I54" s="181"/>
    </row>
    <row r="55" spans="9:9" s="163" customFormat="1" x14ac:dyDescent="0.2">
      <c r="I55" s="165"/>
    </row>
    <row r="56" spans="9:9" s="163" customFormat="1" x14ac:dyDescent="0.2">
      <c r="I56" s="165"/>
    </row>
    <row r="57" spans="9:9" s="163" customFormat="1" x14ac:dyDescent="0.2">
      <c r="I57" s="165"/>
    </row>
    <row r="58" spans="9:9" s="163" customFormat="1" x14ac:dyDescent="0.2">
      <c r="I58" s="165"/>
    </row>
    <row r="59" spans="9:9" s="163" customFormat="1" x14ac:dyDescent="0.2">
      <c r="I59" s="165"/>
    </row>
    <row r="60" spans="9:9" s="163" customFormat="1" x14ac:dyDescent="0.2">
      <c r="I60" s="165"/>
    </row>
    <row r="61" spans="9:9" s="163" customFormat="1" x14ac:dyDescent="0.2">
      <c r="I61" s="165"/>
    </row>
    <row r="62" spans="9:9" s="163" customFormat="1" x14ac:dyDescent="0.2">
      <c r="I62" s="165"/>
    </row>
    <row r="63" spans="9:9" s="163" customFormat="1" x14ac:dyDescent="0.2">
      <c r="I63" s="165"/>
    </row>
    <row r="64" spans="9:9" s="163" customFormat="1" x14ac:dyDescent="0.2">
      <c r="I64" s="165"/>
    </row>
    <row r="65" spans="9:9" s="163" customFormat="1" x14ac:dyDescent="0.2">
      <c r="I65" s="165"/>
    </row>
    <row r="66" spans="9:9" s="163" customFormat="1" x14ac:dyDescent="0.2">
      <c r="I66" s="165"/>
    </row>
    <row r="67" spans="9:9" s="163" customFormat="1" x14ac:dyDescent="0.2">
      <c r="I67" s="165"/>
    </row>
    <row r="68" spans="9:9" s="163" customFormat="1" x14ac:dyDescent="0.2">
      <c r="I68" s="165"/>
    </row>
    <row r="69" spans="9:9" s="163" customFormat="1" x14ac:dyDescent="0.2">
      <c r="I69" s="165"/>
    </row>
    <row r="70" spans="9:9" s="163" customFormat="1" x14ac:dyDescent="0.2">
      <c r="I70" s="165"/>
    </row>
    <row r="71" spans="9:9" s="163" customFormat="1" x14ac:dyDescent="0.2">
      <c r="I71" s="165"/>
    </row>
    <row r="72" spans="9:9" s="163" customFormat="1" x14ac:dyDescent="0.2">
      <c r="I72" s="165"/>
    </row>
    <row r="73" spans="9:9" s="163" customFormat="1" x14ac:dyDescent="0.2">
      <c r="I73" s="165"/>
    </row>
    <row r="74" spans="9:9" s="163" customFormat="1" x14ac:dyDescent="0.2">
      <c r="I74" s="165"/>
    </row>
    <row r="75" spans="9:9" s="163" customFormat="1" x14ac:dyDescent="0.2">
      <c r="I75" s="165"/>
    </row>
    <row r="76" spans="9:9" s="163" customFormat="1" x14ac:dyDescent="0.2">
      <c r="I76" s="165"/>
    </row>
    <row r="77" spans="9:9" s="163" customFormat="1" x14ac:dyDescent="0.2">
      <c r="I77" s="165"/>
    </row>
    <row r="78" spans="9:9" s="163" customFormat="1" x14ac:dyDescent="0.2">
      <c r="I78" s="165"/>
    </row>
    <row r="79" spans="9:9" s="163" customFormat="1" x14ac:dyDescent="0.2">
      <c r="I79" s="165"/>
    </row>
    <row r="80" spans="9:9" s="163" customFormat="1" x14ac:dyDescent="0.2">
      <c r="I80" s="165"/>
    </row>
    <row r="81" spans="9:9" s="163" customFormat="1" x14ac:dyDescent="0.2">
      <c r="I81" s="165"/>
    </row>
    <row r="82" spans="9:9" s="163" customFormat="1" x14ac:dyDescent="0.2">
      <c r="I82" s="165"/>
    </row>
    <row r="83" spans="9:9" s="163" customFormat="1" x14ac:dyDescent="0.2">
      <c r="I83" s="165"/>
    </row>
    <row r="84" spans="9:9" s="163" customFormat="1" x14ac:dyDescent="0.2">
      <c r="I84" s="165"/>
    </row>
    <row r="85" spans="9:9" s="163" customFormat="1" x14ac:dyDescent="0.2">
      <c r="I85" s="165"/>
    </row>
    <row r="86" spans="9:9" s="163" customFormat="1" x14ac:dyDescent="0.2">
      <c r="I86" s="165"/>
    </row>
    <row r="87" spans="9:9" s="163" customFormat="1" x14ac:dyDescent="0.2">
      <c r="I87" s="165"/>
    </row>
    <row r="88" spans="9:9" s="163" customFormat="1" x14ac:dyDescent="0.2">
      <c r="I88" s="165"/>
    </row>
    <row r="89" spans="9:9" s="163" customFormat="1" x14ac:dyDescent="0.2">
      <c r="I89" s="165"/>
    </row>
    <row r="90" spans="9:9" s="163" customFormat="1" x14ac:dyDescent="0.2">
      <c r="I90" s="165"/>
    </row>
    <row r="91" spans="9:9" s="163" customFormat="1" x14ac:dyDescent="0.2">
      <c r="I91" s="165"/>
    </row>
    <row r="92" spans="9:9" s="163" customFormat="1" x14ac:dyDescent="0.2">
      <c r="I92" s="165"/>
    </row>
    <row r="93" spans="9:9" s="163" customFormat="1" x14ac:dyDescent="0.2">
      <c r="I93" s="165"/>
    </row>
    <row r="94" spans="9:9" s="163" customFormat="1" x14ac:dyDescent="0.2">
      <c r="I94" s="165"/>
    </row>
    <row r="95" spans="9:9" s="163" customFormat="1" x14ac:dyDescent="0.2">
      <c r="I95" s="165"/>
    </row>
    <row r="96" spans="9:9" s="163" customFormat="1" x14ac:dyDescent="0.2">
      <c r="I96" s="165"/>
    </row>
    <row r="97" spans="9:9" s="163" customFormat="1" x14ac:dyDescent="0.2">
      <c r="I97" s="165"/>
    </row>
    <row r="98" spans="9:9" s="163" customFormat="1" x14ac:dyDescent="0.2">
      <c r="I98" s="165"/>
    </row>
    <row r="99" spans="9:9" s="163" customFormat="1" x14ac:dyDescent="0.2">
      <c r="I99" s="165"/>
    </row>
    <row r="100" spans="9:9" s="163" customFormat="1" x14ac:dyDescent="0.2">
      <c r="I100" s="165"/>
    </row>
    <row r="101" spans="9:9" s="163" customFormat="1" x14ac:dyDescent="0.2">
      <c r="I101" s="165"/>
    </row>
    <row r="102" spans="9:9" s="163" customFormat="1" x14ac:dyDescent="0.2">
      <c r="I102" s="165"/>
    </row>
    <row r="103" spans="9:9" s="163" customFormat="1" x14ac:dyDescent="0.2">
      <c r="I103" s="165"/>
    </row>
    <row r="104" spans="9:9" s="163" customFormat="1" x14ac:dyDescent="0.2">
      <c r="I104" s="165"/>
    </row>
    <row r="105" spans="9:9" s="163" customFormat="1" x14ac:dyDescent="0.2">
      <c r="I105" s="165"/>
    </row>
    <row r="106" spans="9:9" s="163" customFormat="1" x14ac:dyDescent="0.2">
      <c r="I106" s="165"/>
    </row>
    <row r="107" spans="9:9" s="163" customFormat="1" x14ac:dyDescent="0.2">
      <c r="I107" s="165"/>
    </row>
    <row r="108" spans="9:9" s="163" customFormat="1" x14ac:dyDescent="0.2">
      <c r="I108" s="165"/>
    </row>
    <row r="109" spans="9:9" s="163" customFormat="1" x14ac:dyDescent="0.2">
      <c r="I109" s="165"/>
    </row>
    <row r="110" spans="9:9" s="163" customFormat="1" x14ac:dyDescent="0.2">
      <c r="I110" s="165"/>
    </row>
    <row r="111" spans="9:9" s="163" customFormat="1" x14ac:dyDescent="0.2">
      <c r="I111" s="165"/>
    </row>
    <row r="112" spans="9:9" s="163" customFormat="1" x14ac:dyDescent="0.2">
      <c r="I112" s="165"/>
    </row>
    <row r="113" spans="9:9" s="163" customFormat="1" x14ac:dyDescent="0.2">
      <c r="I113" s="165"/>
    </row>
    <row r="114" spans="9:9" s="163" customFormat="1" x14ac:dyDescent="0.2">
      <c r="I114" s="165"/>
    </row>
    <row r="115" spans="9:9" s="163" customFormat="1" x14ac:dyDescent="0.2">
      <c r="I115" s="165"/>
    </row>
    <row r="116" spans="9:9" s="163" customFormat="1" x14ac:dyDescent="0.2">
      <c r="I116" s="165"/>
    </row>
    <row r="117" spans="9:9" s="163" customFormat="1" x14ac:dyDescent="0.2">
      <c r="I117" s="165"/>
    </row>
    <row r="118" spans="9:9" s="163" customFormat="1" x14ac:dyDescent="0.2">
      <c r="I118" s="165"/>
    </row>
    <row r="119" spans="9:9" s="163" customFormat="1" x14ac:dyDescent="0.2">
      <c r="I119" s="165"/>
    </row>
    <row r="120" spans="9:9" s="163" customFormat="1" x14ac:dyDescent="0.2">
      <c r="I120" s="165"/>
    </row>
    <row r="121" spans="9:9" s="163" customFormat="1" x14ac:dyDescent="0.2">
      <c r="I121" s="165"/>
    </row>
    <row r="122" spans="9:9" s="163" customFormat="1" x14ac:dyDescent="0.2">
      <c r="I122" s="165"/>
    </row>
    <row r="123" spans="9:9" s="163" customFormat="1" x14ac:dyDescent="0.2">
      <c r="I123" s="165"/>
    </row>
    <row r="124" spans="9:9" s="163" customFormat="1" x14ac:dyDescent="0.2">
      <c r="I124" s="165"/>
    </row>
    <row r="125" spans="9:9" s="163" customFormat="1" x14ac:dyDescent="0.2">
      <c r="I125" s="165"/>
    </row>
    <row r="126" spans="9:9" s="163" customFormat="1" x14ac:dyDescent="0.2">
      <c r="I126" s="165"/>
    </row>
    <row r="127" spans="9:9" s="163" customFormat="1" x14ac:dyDescent="0.2">
      <c r="I127" s="165"/>
    </row>
    <row r="128" spans="9:9" s="163" customFormat="1" x14ac:dyDescent="0.2">
      <c r="I128" s="165"/>
    </row>
    <row r="129" spans="9:9" s="163" customFormat="1" x14ac:dyDescent="0.2">
      <c r="I129" s="165"/>
    </row>
    <row r="130" spans="9:9" s="163" customFormat="1" x14ac:dyDescent="0.2">
      <c r="I130" s="165"/>
    </row>
    <row r="131" spans="9:9" s="163" customFormat="1" x14ac:dyDescent="0.2">
      <c r="I131" s="165"/>
    </row>
    <row r="132" spans="9:9" s="163" customFormat="1" x14ac:dyDescent="0.2">
      <c r="I132" s="165"/>
    </row>
    <row r="133" spans="9:9" s="163" customFormat="1" x14ac:dyDescent="0.2">
      <c r="I133" s="165"/>
    </row>
    <row r="134" spans="9:9" s="163" customFormat="1" x14ac:dyDescent="0.2">
      <c r="I134" s="165"/>
    </row>
    <row r="135" spans="9:9" s="163" customFormat="1" x14ac:dyDescent="0.2">
      <c r="I135" s="165"/>
    </row>
    <row r="136" spans="9:9" s="163" customFormat="1" x14ac:dyDescent="0.2">
      <c r="I136" s="165"/>
    </row>
    <row r="137" spans="9:9" s="163" customFormat="1" x14ac:dyDescent="0.2">
      <c r="I137" s="165"/>
    </row>
    <row r="138" spans="9:9" s="163" customFormat="1" x14ac:dyDescent="0.2">
      <c r="I138" s="165"/>
    </row>
    <row r="139" spans="9:9" s="163" customFormat="1" x14ac:dyDescent="0.2">
      <c r="I139" s="165"/>
    </row>
    <row r="140" spans="9:9" s="163" customFormat="1" x14ac:dyDescent="0.2">
      <c r="I140" s="165"/>
    </row>
    <row r="141" spans="9:9" s="163" customFormat="1" x14ac:dyDescent="0.2">
      <c r="I141" s="165"/>
    </row>
    <row r="142" spans="9:9" s="163" customFormat="1" x14ac:dyDescent="0.2">
      <c r="I142" s="165"/>
    </row>
    <row r="143" spans="9:9" s="163" customFormat="1" x14ac:dyDescent="0.2">
      <c r="I143" s="165"/>
    </row>
    <row r="144" spans="9:9" s="163" customFormat="1" x14ac:dyDescent="0.2">
      <c r="I144" s="165"/>
    </row>
    <row r="145" spans="9:9" s="163" customFormat="1" x14ac:dyDescent="0.2">
      <c r="I145" s="165"/>
    </row>
    <row r="146" spans="9:9" s="163" customFormat="1" x14ac:dyDescent="0.2">
      <c r="I146" s="165"/>
    </row>
    <row r="147" spans="9:9" s="163" customFormat="1" x14ac:dyDescent="0.2">
      <c r="I147" s="165"/>
    </row>
    <row r="148" spans="9:9" s="163" customFormat="1" x14ac:dyDescent="0.2">
      <c r="I148" s="165"/>
    </row>
    <row r="149" spans="9:9" s="163" customFormat="1" x14ac:dyDescent="0.2">
      <c r="I149" s="165"/>
    </row>
    <row r="150" spans="9:9" s="163" customFormat="1" x14ac:dyDescent="0.2">
      <c r="I150" s="165"/>
    </row>
    <row r="151" spans="9:9" s="163" customFormat="1" x14ac:dyDescent="0.2">
      <c r="I151" s="165"/>
    </row>
    <row r="152" spans="9:9" s="163" customFormat="1" x14ac:dyDescent="0.2">
      <c r="I152" s="165"/>
    </row>
    <row r="153" spans="9:9" s="163" customFormat="1" x14ac:dyDescent="0.2">
      <c r="I153" s="165"/>
    </row>
    <row r="154" spans="9:9" s="163" customFormat="1" x14ac:dyDescent="0.2">
      <c r="I154" s="165"/>
    </row>
    <row r="155" spans="9:9" s="163" customFormat="1" x14ac:dyDescent="0.2">
      <c r="I155" s="165"/>
    </row>
    <row r="156" spans="9:9" s="163" customFormat="1" x14ac:dyDescent="0.2">
      <c r="I156" s="165"/>
    </row>
    <row r="157" spans="9:9" s="163" customFormat="1" x14ac:dyDescent="0.2">
      <c r="I157" s="165"/>
    </row>
    <row r="158" spans="9:9" s="163" customFormat="1" x14ac:dyDescent="0.2">
      <c r="I158" s="165"/>
    </row>
    <row r="159" spans="9:9" s="163" customFormat="1" x14ac:dyDescent="0.2">
      <c r="I159" s="165"/>
    </row>
    <row r="160" spans="9:9" s="163" customFormat="1" x14ac:dyDescent="0.2">
      <c r="I160" s="165"/>
    </row>
    <row r="161" spans="9:9" s="163" customFormat="1" x14ac:dyDescent="0.2">
      <c r="I161" s="165"/>
    </row>
    <row r="162" spans="9:9" s="163" customFormat="1" x14ac:dyDescent="0.2">
      <c r="I162" s="165"/>
    </row>
    <row r="163" spans="9:9" s="163" customFormat="1" x14ac:dyDescent="0.2">
      <c r="I163" s="165"/>
    </row>
    <row r="164" spans="9:9" s="163" customFormat="1" x14ac:dyDescent="0.2">
      <c r="I164" s="165"/>
    </row>
    <row r="165" spans="9:9" s="163" customFormat="1" x14ac:dyDescent="0.2">
      <c r="I165" s="165"/>
    </row>
    <row r="166" spans="9:9" s="163" customFormat="1" x14ac:dyDescent="0.2">
      <c r="I166" s="165"/>
    </row>
    <row r="167" spans="9:9" s="163" customFormat="1" x14ac:dyDescent="0.2">
      <c r="I167" s="165"/>
    </row>
    <row r="168" spans="9:9" s="163" customFormat="1" x14ac:dyDescent="0.2">
      <c r="I168" s="165"/>
    </row>
    <row r="169" spans="9:9" s="163" customFormat="1" x14ac:dyDescent="0.2">
      <c r="I169" s="165"/>
    </row>
    <row r="170" spans="9:9" s="163" customFormat="1" x14ac:dyDescent="0.2">
      <c r="I170" s="165"/>
    </row>
    <row r="171" spans="9:9" s="163" customFormat="1" x14ac:dyDescent="0.2">
      <c r="I171" s="165"/>
    </row>
    <row r="172" spans="9:9" s="163" customFormat="1" x14ac:dyDescent="0.2">
      <c r="I172" s="165"/>
    </row>
    <row r="173" spans="9:9" s="163" customFormat="1" x14ac:dyDescent="0.2">
      <c r="I173" s="165"/>
    </row>
    <row r="174" spans="9:9" s="163" customFormat="1" x14ac:dyDescent="0.2">
      <c r="I174" s="165"/>
    </row>
    <row r="175" spans="9:9" s="163" customFormat="1" x14ac:dyDescent="0.2">
      <c r="I175" s="165"/>
    </row>
    <row r="176" spans="9:9" s="163" customFormat="1" x14ac:dyDescent="0.2">
      <c r="I176" s="165"/>
    </row>
    <row r="177" spans="9:9" s="163" customFormat="1" x14ac:dyDescent="0.2">
      <c r="I177" s="165"/>
    </row>
    <row r="178" spans="9:9" s="163" customFormat="1" x14ac:dyDescent="0.2">
      <c r="I178" s="165"/>
    </row>
    <row r="179" spans="9:9" s="163" customFormat="1" x14ac:dyDescent="0.2">
      <c r="I179" s="165"/>
    </row>
    <row r="180" spans="9:9" s="163" customFormat="1" x14ac:dyDescent="0.2">
      <c r="I180" s="165"/>
    </row>
    <row r="181" spans="9:9" s="163" customFormat="1" x14ac:dyDescent="0.2">
      <c r="I181" s="165"/>
    </row>
    <row r="182" spans="9:9" s="163" customFormat="1" x14ac:dyDescent="0.2">
      <c r="I182" s="165"/>
    </row>
    <row r="183" spans="9:9" s="163" customFormat="1" x14ac:dyDescent="0.2">
      <c r="I183" s="165"/>
    </row>
    <row r="184" spans="9:9" s="163" customFormat="1" x14ac:dyDescent="0.2">
      <c r="I184" s="165"/>
    </row>
    <row r="185" spans="9:9" s="163" customFormat="1" x14ac:dyDescent="0.2">
      <c r="I185" s="165"/>
    </row>
    <row r="186" spans="9:9" s="163" customFormat="1" x14ac:dyDescent="0.2">
      <c r="I186" s="165"/>
    </row>
    <row r="187" spans="9:9" s="163" customFormat="1" x14ac:dyDescent="0.2">
      <c r="I187" s="165"/>
    </row>
    <row r="188" spans="9:9" s="163" customFormat="1" x14ac:dyDescent="0.2">
      <c r="I188" s="165"/>
    </row>
    <row r="189" spans="9:9" s="163" customFormat="1" x14ac:dyDescent="0.2">
      <c r="I189" s="165"/>
    </row>
    <row r="190" spans="9:9" s="163" customFormat="1" x14ac:dyDescent="0.2">
      <c r="I190" s="165"/>
    </row>
    <row r="191" spans="9:9" s="163" customFormat="1" x14ac:dyDescent="0.2">
      <c r="I191" s="165"/>
    </row>
    <row r="192" spans="9:9" s="163" customFormat="1" x14ac:dyDescent="0.2">
      <c r="I192" s="165"/>
    </row>
    <row r="193" spans="9:9" s="163" customFormat="1" x14ac:dyDescent="0.2">
      <c r="I193" s="165"/>
    </row>
    <row r="194" spans="9:9" s="163" customFormat="1" x14ac:dyDescent="0.2">
      <c r="I194" s="165"/>
    </row>
    <row r="195" spans="9:9" s="163" customFormat="1" x14ac:dyDescent="0.2">
      <c r="I195" s="165"/>
    </row>
    <row r="196" spans="9:9" s="163" customFormat="1" x14ac:dyDescent="0.2">
      <c r="I196" s="165"/>
    </row>
    <row r="197" spans="9:9" s="163" customFormat="1" x14ac:dyDescent="0.2">
      <c r="I197" s="165"/>
    </row>
    <row r="198" spans="9:9" s="163" customFormat="1" x14ac:dyDescent="0.2">
      <c r="I198" s="165"/>
    </row>
    <row r="199" spans="9:9" s="163" customFormat="1" x14ac:dyDescent="0.2">
      <c r="I199" s="165"/>
    </row>
    <row r="200" spans="9:9" s="163" customFormat="1" x14ac:dyDescent="0.2">
      <c r="I200" s="165"/>
    </row>
    <row r="201" spans="9:9" s="163" customFormat="1" x14ac:dyDescent="0.2">
      <c r="I201" s="165"/>
    </row>
    <row r="202" spans="9:9" s="163" customFormat="1" x14ac:dyDescent="0.2">
      <c r="I202" s="165"/>
    </row>
    <row r="203" spans="9:9" s="163" customFormat="1" x14ac:dyDescent="0.2">
      <c r="I203" s="165"/>
    </row>
    <row r="204" spans="9:9" s="163" customFormat="1" x14ac:dyDescent="0.2">
      <c r="I204" s="165"/>
    </row>
    <row r="205" spans="9:9" s="163" customFormat="1" x14ac:dyDescent="0.2">
      <c r="I205" s="165"/>
    </row>
    <row r="206" spans="9:9" s="163" customFormat="1" x14ac:dyDescent="0.2">
      <c r="I206" s="165"/>
    </row>
    <row r="207" spans="9:9" s="163" customFormat="1" x14ac:dyDescent="0.2">
      <c r="I207" s="165"/>
    </row>
    <row r="208" spans="9:9" s="163" customFormat="1" x14ac:dyDescent="0.2">
      <c r="I208" s="165"/>
    </row>
    <row r="209" spans="9:9" s="163" customFormat="1" x14ac:dyDescent="0.2">
      <c r="I209" s="165"/>
    </row>
    <row r="210" spans="9:9" s="163" customFormat="1" x14ac:dyDescent="0.2">
      <c r="I210" s="165"/>
    </row>
    <row r="211" spans="9:9" s="163" customFormat="1" x14ac:dyDescent="0.2">
      <c r="I211" s="165"/>
    </row>
    <row r="212" spans="9:9" s="163" customFormat="1" x14ac:dyDescent="0.2">
      <c r="I212" s="165"/>
    </row>
    <row r="213" spans="9:9" s="163" customFormat="1" x14ac:dyDescent="0.2">
      <c r="I213" s="165"/>
    </row>
    <row r="214" spans="9:9" s="163" customFormat="1" x14ac:dyDescent="0.2">
      <c r="I214" s="165"/>
    </row>
    <row r="215" spans="9:9" s="163" customFormat="1" x14ac:dyDescent="0.2">
      <c r="I215" s="165"/>
    </row>
    <row r="216" spans="9:9" s="163" customFormat="1" x14ac:dyDescent="0.2">
      <c r="I216" s="165"/>
    </row>
    <row r="217" spans="9:9" s="163" customFormat="1" x14ac:dyDescent="0.2">
      <c r="I217" s="165"/>
    </row>
    <row r="218" spans="9:9" s="163" customFormat="1" x14ac:dyDescent="0.2">
      <c r="I218" s="165"/>
    </row>
    <row r="219" spans="9:9" s="163" customFormat="1" x14ac:dyDescent="0.2">
      <c r="I219" s="165"/>
    </row>
    <row r="220" spans="9:9" s="163" customFormat="1" x14ac:dyDescent="0.2">
      <c r="I220" s="165"/>
    </row>
    <row r="221" spans="9:9" s="163" customFormat="1" x14ac:dyDescent="0.2">
      <c r="I221" s="165"/>
    </row>
    <row r="222" spans="9:9" s="163" customFormat="1" x14ac:dyDescent="0.2">
      <c r="I222" s="165"/>
    </row>
    <row r="223" spans="9:9" s="163" customFormat="1" x14ac:dyDescent="0.2">
      <c r="I223" s="165"/>
    </row>
    <row r="224" spans="9:9" s="163" customFormat="1" x14ac:dyDescent="0.2">
      <c r="I224" s="165"/>
    </row>
    <row r="225" spans="9:9" s="163" customFormat="1" x14ac:dyDescent="0.2">
      <c r="I225" s="165"/>
    </row>
    <row r="226" spans="9:9" s="163" customFormat="1" x14ac:dyDescent="0.2">
      <c r="I226" s="165"/>
    </row>
    <row r="227" spans="9:9" s="163" customFormat="1" x14ac:dyDescent="0.2">
      <c r="I227" s="165"/>
    </row>
    <row r="228" spans="9:9" s="163" customFormat="1" x14ac:dyDescent="0.2">
      <c r="I228" s="165"/>
    </row>
    <row r="229" spans="9:9" s="163" customFormat="1" x14ac:dyDescent="0.2">
      <c r="I229" s="165"/>
    </row>
    <row r="230" spans="9:9" s="163" customFormat="1" x14ac:dyDescent="0.2">
      <c r="I230" s="165"/>
    </row>
    <row r="231" spans="9:9" s="163" customFormat="1" x14ac:dyDescent="0.2">
      <c r="I231" s="165"/>
    </row>
    <row r="232" spans="9:9" s="163" customFormat="1" x14ac:dyDescent="0.2">
      <c r="I232" s="165"/>
    </row>
    <row r="233" spans="9:9" s="163" customFormat="1" x14ac:dyDescent="0.2">
      <c r="I233" s="165"/>
    </row>
    <row r="234" spans="9:9" s="163" customFormat="1" x14ac:dyDescent="0.2">
      <c r="I234" s="165"/>
    </row>
    <row r="235" spans="9:9" s="163" customFormat="1" x14ac:dyDescent="0.2">
      <c r="I235" s="165"/>
    </row>
    <row r="236" spans="9:9" s="163" customFormat="1" x14ac:dyDescent="0.2">
      <c r="I236" s="165"/>
    </row>
    <row r="237" spans="9:9" s="163" customFormat="1" x14ac:dyDescent="0.2">
      <c r="I237" s="165"/>
    </row>
    <row r="238" spans="9:9" s="163" customFormat="1" x14ac:dyDescent="0.2">
      <c r="I238" s="165"/>
    </row>
    <row r="239" spans="9:9" s="163" customFormat="1" x14ac:dyDescent="0.2">
      <c r="I239" s="165"/>
    </row>
    <row r="240" spans="9:9" s="163" customFormat="1" x14ac:dyDescent="0.2">
      <c r="I240" s="165"/>
    </row>
    <row r="241" spans="9:9" s="163" customFormat="1" x14ac:dyDescent="0.2">
      <c r="I241" s="165"/>
    </row>
    <row r="242" spans="9:9" s="163" customFormat="1" x14ac:dyDescent="0.2">
      <c r="I242" s="165"/>
    </row>
    <row r="243" spans="9:9" s="163" customFormat="1" x14ac:dyDescent="0.2">
      <c r="I243" s="165"/>
    </row>
    <row r="244" spans="9:9" s="163" customFormat="1" x14ac:dyDescent="0.2">
      <c r="I244" s="165"/>
    </row>
    <row r="245" spans="9:9" s="163" customFormat="1" x14ac:dyDescent="0.2">
      <c r="I245" s="165"/>
    </row>
    <row r="246" spans="9:9" s="163" customFormat="1" x14ac:dyDescent="0.2">
      <c r="I246" s="165"/>
    </row>
    <row r="247" spans="9:9" s="163" customFormat="1" x14ac:dyDescent="0.2">
      <c r="I247" s="165"/>
    </row>
    <row r="248" spans="9:9" s="163" customFormat="1" x14ac:dyDescent="0.2">
      <c r="I248" s="165"/>
    </row>
    <row r="249" spans="9:9" s="163" customFormat="1" x14ac:dyDescent="0.2">
      <c r="I249" s="165"/>
    </row>
    <row r="250" spans="9:9" s="163" customFormat="1" x14ac:dyDescent="0.2">
      <c r="I250" s="165"/>
    </row>
    <row r="251" spans="9:9" s="163" customFormat="1" x14ac:dyDescent="0.2">
      <c r="I251" s="165"/>
    </row>
    <row r="252" spans="9:9" s="163" customFormat="1" x14ac:dyDescent="0.2">
      <c r="I252" s="165"/>
    </row>
    <row r="253" spans="9:9" s="163" customFormat="1" x14ac:dyDescent="0.2">
      <c r="I253" s="165"/>
    </row>
    <row r="254" spans="9:9" s="163" customFormat="1" x14ac:dyDescent="0.2">
      <c r="I254" s="165"/>
    </row>
    <row r="255" spans="9:9" s="163" customFormat="1" x14ac:dyDescent="0.2">
      <c r="I255" s="165"/>
    </row>
    <row r="256" spans="9:9" s="163" customFormat="1" x14ac:dyDescent="0.2">
      <c r="I256" s="165"/>
    </row>
    <row r="257" spans="9:9" s="163" customFormat="1" x14ac:dyDescent="0.2">
      <c r="I257" s="165"/>
    </row>
    <row r="258" spans="9:9" s="163" customFormat="1" x14ac:dyDescent="0.2">
      <c r="I258" s="165"/>
    </row>
    <row r="259" spans="9:9" s="163" customFormat="1" x14ac:dyDescent="0.2">
      <c r="I259" s="165"/>
    </row>
    <row r="260" spans="9:9" s="163" customFormat="1" x14ac:dyDescent="0.2">
      <c r="I260" s="165"/>
    </row>
    <row r="261" spans="9:9" s="163" customFormat="1" x14ac:dyDescent="0.2">
      <c r="I261" s="165"/>
    </row>
    <row r="262" spans="9:9" s="163" customFormat="1" x14ac:dyDescent="0.2">
      <c r="I262" s="165"/>
    </row>
    <row r="263" spans="9:9" s="163" customFormat="1" x14ac:dyDescent="0.2">
      <c r="I263" s="165"/>
    </row>
    <row r="264" spans="9:9" s="163" customFormat="1" x14ac:dyDescent="0.2">
      <c r="I264" s="165"/>
    </row>
    <row r="265" spans="9:9" s="163" customFormat="1" x14ac:dyDescent="0.2">
      <c r="I265" s="165"/>
    </row>
    <row r="266" spans="9:9" s="163" customFormat="1" x14ac:dyDescent="0.2">
      <c r="I266" s="165"/>
    </row>
    <row r="267" spans="9:9" s="163" customFormat="1" x14ac:dyDescent="0.2">
      <c r="I267" s="165"/>
    </row>
    <row r="268" spans="9:9" s="163" customFormat="1" x14ac:dyDescent="0.2">
      <c r="I268" s="165"/>
    </row>
    <row r="269" spans="9:9" s="163" customFormat="1" x14ac:dyDescent="0.2">
      <c r="I269" s="165"/>
    </row>
    <row r="270" spans="9:9" s="163" customFormat="1" x14ac:dyDescent="0.2">
      <c r="I270" s="165"/>
    </row>
    <row r="271" spans="9:9" s="163" customFormat="1" x14ac:dyDescent="0.2">
      <c r="I271" s="165"/>
    </row>
    <row r="272" spans="9:9" s="163" customFormat="1" x14ac:dyDescent="0.2">
      <c r="I272" s="165"/>
    </row>
    <row r="273" spans="9:9" s="163" customFormat="1" x14ac:dyDescent="0.2">
      <c r="I273" s="165"/>
    </row>
    <row r="274" spans="9:9" s="163" customFormat="1" x14ac:dyDescent="0.2">
      <c r="I274" s="165"/>
    </row>
    <row r="275" spans="9:9" s="163" customFormat="1" x14ac:dyDescent="0.2">
      <c r="I275" s="165"/>
    </row>
    <row r="276" spans="9:9" s="163" customFormat="1" x14ac:dyDescent="0.2">
      <c r="I276" s="165"/>
    </row>
    <row r="277" spans="9:9" s="163" customFormat="1" x14ac:dyDescent="0.2">
      <c r="I277" s="165"/>
    </row>
    <row r="278" spans="9:9" s="163" customFormat="1" x14ac:dyDescent="0.2">
      <c r="I278" s="165"/>
    </row>
    <row r="279" spans="9:9" s="163" customFormat="1" x14ac:dyDescent="0.2">
      <c r="I279" s="165"/>
    </row>
    <row r="280" spans="9:9" s="163" customFormat="1" x14ac:dyDescent="0.2">
      <c r="I280" s="165"/>
    </row>
    <row r="281" spans="9:9" s="163" customFormat="1" x14ac:dyDescent="0.2">
      <c r="I281" s="165"/>
    </row>
    <row r="282" spans="9:9" s="163" customFormat="1" x14ac:dyDescent="0.2">
      <c r="I282" s="165"/>
    </row>
    <row r="283" spans="9:9" s="163" customFormat="1" x14ac:dyDescent="0.2">
      <c r="I283" s="165"/>
    </row>
    <row r="284" spans="9:9" s="163" customFormat="1" x14ac:dyDescent="0.2">
      <c r="I284" s="165"/>
    </row>
    <row r="285" spans="9:9" s="163" customFormat="1" x14ac:dyDescent="0.2">
      <c r="I285" s="165"/>
    </row>
    <row r="286" spans="9:9" s="163" customFormat="1" x14ac:dyDescent="0.2">
      <c r="I286" s="165"/>
    </row>
    <row r="287" spans="9:9" s="163" customFormat="1" x14ac:dyDescent="0.2">
      <c r="I287" s="165"/>
    </row>
    <row r="288" spans="9:9" s="163" customFormat="1" x14ac:dyDescent="0.2">
      <c r="I288" s="165"/>
    </row>
    <row r="289" spans="9:9" s="163" customFormat="1" x14ac:dyDescent="0.2">
      <c r="I289" s="165"/>
    </row>
    <row r="290" spans="9:9" s="163" customFormat="1" x14ac:dyDescent="0.2">
      <c r="I290" s="165"/>
    </row>
    <row r="291" spans="9:9" s="163" customFormat="1" x14ac:dyDescent="0.2">
      <c r="I291" s="165"/>
    </row>
    <row r="292" spans="9:9" s="163" customFormat="1" x14ac:dyDescent="0.2">
      <c r="I292" s="165"/>
    </row>
    <row r="293" spans="9:9" s="163" customFormat="1" x14ac:dyDescent="0.2">
      <c r="I293" s="165"/>
    </row>
    <row r="294" spans="9:9" s="163" customFormat="1" x14ac:dyDescent="0.2">
      <c r="I294" s="165"/>
    </row>
    <row r="295" spans="9:9" s="163" customFormat="1" x14ac:dyDescent="0.2">
      <c r="I295" s="165"/>
    </row>
    <row r="296" spans="9:9" s="163" customFormat="1" x14ac:dyDescent="0.2">
      <c r="I296" s="165"/>
    </row>
    <row r="297" spans="9:9" s="163" customFormat="1" x14ac:dyDescent="0.2">
      <c r="I297" s="165"/>
    </row>
    <row r="298" spans="9:9" s="163" customFormat="1" x14ac:dyDescent="0.2">
      <c r="I298" s="165"/>
    </row>
    <row r="299" spans="9:9" s="163" customFormat="1" x14ac:dyDescent="0.2">
      <c r="I299" s="165"/>
    </row>
    <row r="300" spans="9:9" s="163" customFormat="1" x14ac:dyDescent="0.2">
      <c r="I300" s="165"/>
    </row>
    <row r="301" spans="9:9" s="163" customFormat="1" x14ac:dyDescent="0.2">
      <c r="I301" s="165"/>
    </row>
    <row r="302" spans="9:9" s="163" customFormat="1" x14ac:dyDescent="0.2">
      <c r="I302" s="165"/>
    </row>
    <row r="303" spans="9:9" s="163" customFormat="1" x14ac:dyDescent="0.2">
      <c r="I303" s="165"/>
    </row>
    <row r="304" spans="9:9" s="163" customFormat="1" x14ac:dyDescent="0.2">
      <c r="I304" s="165"/>
    </row>
    <row r="305" spans="9:9" s="163" customFormat="1" x14ac:dyDescent="0.2">
      <c r="I305" s="165"/>
    </row>
    <row r="306" spans="9:9" s="163" customFormat="1" x14ac:dyDescent="0.2">
      <c r="I306" s="165"/>
    </row>
    <row r="307" spans="9:9" s="163" customFormat="1" x14ac:dyDescent="0.2">
      <c r="I307" s="165"/>
    </row>
    <row r="308" spans="9:9" s="163" customFormat="1" x14ac:dyDescent="0.2">
      <c r="I308" s="165"/>
    </row>
    <row r="309" spans="9:9" s="163" customFormat="1" x14ac:dyDescent="0.2">
      <c r="I309" s="165"/>
    </row>
    <row r="310" spans="9:9" s="163" customFormat="1" x14ac:dyDescent="0.2">
      <c r="I310" s="165"/>
    </row>
    <row r="311" spans="9:9" s="163" customFormat="1" x14ac:dyDescent="0.2">
      <c r="I311" s="165"/>
    </row>
    <row r="312" spans="9:9" s="163" customFormat="1" x14ac:dyDescent="0.2">
      <c r="I312" s="165"/>
    </row>
    <row r="313" spans="9:9" s="163" customFormat="1" x14ac:dyDescent="0.2">
      <c r="I313" s="165"/>
    </row>
    <row r="314" spans="9:9" s="163" customFormat="1" x14ac:dyDescent="0.2">
      <c r="I314" s="165"/>
    </row>
    <row r="315" spans="9:9" s="163" customFormat="1" x14ac:dyDescent="0.2">
      <c r="I315" s="165"/>
    </row>
    <row r="316" spans="9:9" s="163" customFormat="1" x14ac:dyDescent="0.2">
      <c r="I316" s="165"/>
    </row>
    <row r="317" spans="9:9" s="163" customFormat="1" x14ac:dyDescent="0.2">
      <c r="I317" s="165"/>
    </row>
    <row r="318" spans="9:9" s="163" customFormat="1" x14ac:dyDescent="0.2">
      <c r="I318" s="165"/>
    </row>
    <row r="319" spans="9:9" s="163" customFormat="1" x14ac:dyDescent="0.2">
      <c r="I319" s="165"/>
    </row>
    <row r="320" spans="9:9" s="163" customFormat="1" x14ac:dyDescent="0.2">
      <c r="I320" s="165"/>
    </row>
    <row r="321" spans="9:9" s="163" customFormat="1" x14ac:dyDescent="0.2">
      <c r="I321" s="165"/>
    </row>
    <row r="322" spans="9:9" s="163" customFormat="1" x14ac:dyDescent="0.2">
      <c r="I322" s="165"/>
    </row>
    <row r="323" spans="9:9" s="163" customFormat="1" x14ac:dyDescent="0.2">
      <c r="I323" s="165"/>
    </row>
    <row r="324" spans="9:9" s="163" customFormat="1" x14ac:dyDescent="0.2">
      <c r="I324" s="165"/>
    </row>
    <row r="325" spans="9:9" s="163" customFormat="1" x14ac:dyDescent="0.2">
      <c r="I325" s="165"/>
    </row>
    <row r="326" spans="9:9" s="163" customFormat="1" x14ac:dyDescent="0.2">
      <c r="I326" s="165"/>
    </row>
    <row r="327" spans="9:9" s="163" customFormat="1" x14ac:dyDescent="0.2">
      <c r="I327" s="165"/>
    </row>
    <row r="328" spans="9:9" s="163" customFormat="1" x14ac:dyDescent="0.2">
      <c r="I328" s="165"/>
    </row>
    <row r="329" spans="9:9" s="163" customFormat="1" x14ac:dyDescent="0.2">
      <c r="I329" s="165"/>
    </row>
    <row r="330" spans="9:9" s="163" customFormat="1" x14ac:dyDescent="0.2">
      <c r="I330" s="165"/>
    </row>
    <row r="331" spans="9:9" s="163" customFormat="1" x14ac:dyDescent="0.2">
      <c r="I331" s="165"/>
    </row>
    <row r="332" spans="9:9" s="163" customFormat="1" x14ac:dyDescent="0.2">
      <c r="I332" s="165"/>
    </row>
    <row r="333" spans="9:9" s="163" customFormat="1" x14ac:dyDescent="0.2">
      <c r="I333" s="165"/>
    </row>
    <row r="334" spans="9:9" s="163" customFormat="1" x14ac:dyDescent="0.2">
      <c r="I334" s="165"/>
    </row>
    <row r="335" spans="9:9" s="163" customFormat="1" x14ac:dyDescent="0.2">
      <c r="I335" s="165"/>
    </row>
    <row r="336" spans="9:9" s="163" customFormat="1" x14ac:dyDescent="0.2">
      <c r="I336" s="165"/>
    </row>
    <row r="337" spans="9:9" s="163" customFormat="1" x14ac:dyDescent="0.2">
      <c r="I337" s="165"/>
    </row>
    <row r="338" spans="9:9" s="163" customFormat="1" x14ac:dyDescent="0.2">
      <c r="I338" s="165"/>
    </row>
    <row r="339" spans="9:9" s="163" customFormat="1" x14ac:dyDescent="0.2">
      <c r="I339" s="165"/>
    </row>
    <row r="340" spans="9:9" s="163" customFormat="1" x14ac:dyDescent="0.2">
      <c r="I340" s="165"/>
    </row>
    <row r="341" spans="9:9" s="163" customFormat="1" x14ac:dyDescent="0.2">
      <c r="I341" s="165"/>
    </row>
    <row r="342" spans="9:9" s="163" customFormat="1" x14ac:dyDescent="0.2">
      <c r="I342" s="165"/>
    </row>
    <row r="343" spans="9:9" s="163" customFormat="1" x14ac:dyDescent="0.2">
      <c r="I343" s="165"/>
    </row>
    <row r="344" spans="9:9" s="163" customFormat="1" x14ac:dyDescent="0.2">
      <c r="I344" s="165"/>
    </row>
    <row r="345" spans="9:9" s="163" customFormat="1" x14ac:dyDescent="0.2">
      <c r="I345" s="165"/>
    </row>
    <row r="346" spans="9:9" s="163" customFormat="1" x14ac:dyDescent="0.2">
      <c r="I346" s="165"/>
    </row>
    <row r="347" spans="9:9" s="163" customFormat="1" x14ac:dyDescent="0.2">
      <c r="I347" s="165"/>
    </row>
    <row r="348" spans="9:9" s="163" customFormat="1" x14ac:dyDescent="0.2">
      <c r="I348" s="165"/>
    </row>
    <row r="349" spans="9:9" s="163" customFormat="1" x14ac:dyDescent="0.2">
      <c r="I349" s="165"/>
    </row>
    <row r="350" spans="9:9" s="163" customFormat="1" x14ac:dyDescent="0.2">
      <c r="I350" s="165"/>
    </row>
    <row r="351" spans="9:9" s="163" customFormat="1" x14ac:dyDescent="0.2">
      <c r="I351" s="165"/>
    </row>
    <row r="352" spans="9:9" s="163" customFormat="1" x14ac:dyDescent="0.2">
      <c r="I352" s="165"/>
    </row>
    <row r="353" spans="9:9" s="163" customFormat="1" x14ac:dyDescent="0.2">
      <c r="I353" s="165"/>
    </row>
    <row r="354" spans="9:9" s="163" customFormat="1" x14ac:dyDescent="0.2">
      <c r="I354" s="165"/>
    </row>
    <row r="355" spans="9:9" s="163" customFormat="1" x14ac:dyDescent="0.2">
      <c r="I355" s="165"/>
    </row>
    <row r="356" spans="9:9" s="163" customFormat="1" x14ac:dyDescent="0.2">
      <c r="I356" s="165"/>
    </row>
    <row r="357" spans="9:9" s="163" customFormat="1" x14ac:dyDescent="0.2">
      <c r="I357" s="165"/>
    </row>
    <row r="358" spans="9:9" s="163" customFormat="1" x14ac:dyDescent="0.2">
      <c r="I358" s="165"/>
    </row>
    <row r="359" spans="9:9" s="163" customFormat="1" x14ac:dyDescent="0.2">
      <c r="I359" s="165"/>
    </row>
    <row r="360" spans="9:9" s="163" customFormat="1" x14ac:dyDescent="0.2">
      <c r="I360" s="165"/>
    </row>
    <row r="361" spans="9:9" s="163" customFormat="1" x14ac:dyDescent="0.2">
      <c r="I361" s="165"/>
    </row>
    <row r="362" spans="9:9" s="163" customFormat="1" x14ac:dyDescent="0.2">
      <c r="I362" s="165"/>
    </row>
    <row r="363" spans="9:9" s="163" customFormat="1" x14ac:dyDescent="0.2">
      <c r="I363" s="165"/>
    </row>
    <row r="364" spans="9:9" s="163" customFormat="1" x14ac:dyDescent="0.2">
      <c r="I364" s="165"/>
    </row>
    <row r="365" spans="9:9" s="163" customFormat="1" x14ac:dyDescent="0.2">
      <c r="I365" s="165"/>
    </row>
    <row r="366" spans="9:9" s="163" customFormat="1" x14ac:dyDescent="0.2">
      <c r="I366" s="165"/>
    </row>
    <row r="367" spans="9:9" s="163" customFormat="1" x14ac:dyDescent="0.2">
      <c r="I367" s="165"/>
    </row>
    <row r="368" spans="9:9" s="163" customFormat="1" x14ac:dyDescent="0.2">
      <c r="I368" s="165"/>
    </row>
    <row r="369" spans="9:9" s="163" customFormat="1" x14ac:dyDescent="0.2">
      <c r="I369" s="165"/>
    </row>
    <row r="370" spans="9:9" s="163" customFormat="1" x14ac:dyDescent="0.2">
      <c r="I370" s="165"/>
    </row>
    <row r="371" spans="9:9" s="163" customFormat="1" x14ac:dyDescent="0.2">
      <c r="I371" s="165"/>
    </row>
    <row r="372" spans="9:9" s="163" customFormat="1" x14ac:dyDescent="0.2">
      <c r="I372" s="165"/>
    </row>
    <row r="373" spans="9:9" s="163" customFormat="1" x14ac:dyDescent="0.2">
      <c r="I373" s="165"/>
    </row>
    <row r="374" spans="9:9" s="163" customFormat="1" x14ac:dyDescent="0.2">
      <c r="I374" s="165"/>
    </row>
    <row r="375" spans="9:9" s="163" customFormat="1" x14ac:dyDescent="0.2">
      <c r="I375" s="165"/>
    </row>
    <row r="376" spans="9:9" s="163" customFormat="1" x14ac:dyDescent="0.2">
      <c r="I376" s="165"/>
    </row>
    <row r="377" spans="9:9" s="163" customFormat="1" x14ac:dyDescent="0.2">
      <c r="I377" s="165"/>
    </row>
    <row r="378" spans="9:9" s="163" customFormat="1" x14ac:dyDescent="0.2">
      <c r="I378" s="165"/>
    </row>
    <row r="379" spans="9:9" s="163" customFormat="1" x14ac:dyDescent="0.2">
      <c r="I379" s="165"/>
    </row>
    <row r="380" spans="9:9" s="163" customFormat="1" x14ac:dyDescent="0.2">
      <c r="I380" s="165"/>
    </row>
    <row r="381" spans="9:9" s="163" customFormat="1" x14ac:dyDescent="0.2">
      <c r="I381" s="165"/>
    </row>
    <row r="382" spans="9:9" s="163" customFormat="1" x14ac:dyDescent="0.2">
      <c r="I382" s="165"/>
    </row>
    <row r="383" spans="9:9" s="163" customFormat="1" x14ac:dyDescent="0.2">
      <c r="I383" s="165"/>
    </row>
    <row r="384" spans="9:9" s="163" customFormat="1" x14ac:dyDescent="0.2">
      <c r="I384" s="165"/>
    </row>
    <row r="385" spans="9:9" s="163" customFormat="1" x14ac:dyDescent="0.2">
      <c r="I385" s="165"/>
    </row>
    <row r="386" spans="9:9" s="163" customFormat="1" x14ac:dyDescent="0.2">
      <c r="I386" s="165"/>
    </row>
    <row r="387" spans="9:9" s="163" customFormat="1" x14ac:dyDescent="0.2">
      <c r="I387" s="165"/>
    </row>
    <row r="388" spans="9:9" s="163" customFormat="1" x14ac:dyDescent="0.2">
      <c r="I388" s="165"/>
    </row>
    <row r="389" spans="9:9" s="163" customFormat="1" x14ac:dyDescent="0.2">
      <c r="I389" s="165"/>
    </row>
    <row r="390" spans="9:9" s="163" customFormat="1" x14ac:dyDescent="0.2">
      <c r="I390" s="165"/>
    </row>
    <row r="391" spans="9:9" s="163" customFormat="1" x14ac:dyDescent="0.2">
      <c r="I391" s="165"/>
    </row>
    <row r="392" spans="9:9" s="163" customFormat="1" x14ac:dyDescent="0.2">
      <c r="I392" s="165"/>
    </row>
    <row r="393" spans="9:9" s="163" customFormat="1" x14ac:dyDescent="0.2">
      <c r="I393" s="165"/>
    </row>
    <row r="394" spans="9:9" s="163" customFormat="1" x14ac:dyDescent="0.2">
      <c r="I394" s="165"/>
    </row>
    <row r="395" spans="9:9" s="163" customFormat="1" x14ac:dyDescent="0.2">
      <c r="I395" s="165"/>
    </row>
    <row r="396" spans="9:9" s="163" customFormat="1" x14ac:dyDescent="0.2">
      <c r="I396" s="165"/>
    </row>
    <row r="397" spans="9:9" s="163" customFormat="1" x14ac:dyDescent="0.2">
      <c r="I397" s="165"/>
    </row>
    <row r="398" spans="9:9" s="163" customFormat="1" x14ac:dyDescent="0.2">
      <c r="I398" s="165"/>
    </row>
    <row r="399" spans="9:9" s="163" customFormat="1" x14ac:dyDescent="0.2">
      <c r="I399" s="165"/>
    </row>
    <row r="400" spans="9:9" s="163" customFormat="1" x14ac:dyDescent="0.2">
      <c r="I400" s="165"/>
    </row>
    <row r="401" spans="9:9" s="163" customFormat="1" x14ac:dyDescent="0.2">
      <c r="I401" s="165"/>
    </row>
    <row r="402" spans="9:9" s="163" customFormat="1" x14ac:dyDescent="0.2">
      <c r="I402" s="165"/>
    </row>
    <row r="403" spans="9:9" s="163" customFormat="1" x14ac:dyDescent="0.2">
      <c r="I403" s="165"/>
    </row>
    <row r="404" spans="9:9" s="163" customFormat="1" x14ac:dyDescent="0.2">
      <c r="I404" s="165"/>
    </row>
    <row r="405" spans="9:9" s="163" customFormat="1" x14ac:dyDescent="0.2">
      <c r="I405" s="165"/>
    </row>
    <row r="406" spans="9:9" s="163" customFormat="1" x14ac:dyDescent="0.2">
      <c r="I406" s="165"/>
    </row>
    <row r="407" spans="9:9" s="163" customFormat="1" x14ac:dyDescent="0.2">
      <c r="I407" s="165"/>
    </row>
    <row r="408" spans="9:9" s="163" customFormat="1" x14ac:dyDescent="0.2">
      <c r="I408" s="165"/>
    </row>
    <row r="409" spans="9:9" s="163" customFormat="1" x14ac:dyDescent="0.2">
      <c r="I409" s="165"/>
    </row>
    <row r="410" spans="9:9" s="163" customFormat="1" x14ac:dyDescent="0.2">
      <c r="I410" s="165"/>
    </row>
    <row r="411" spans="9:9" s="163" customFormat="1" x14ac:dyDescent="0.2">
      <c r="I411" s="165"/>
    </row>
    <row r="412" spans="9:9" s="163" customFormat="1" x14ac:dyDescent="0.2">
      <c r="I412" s="165"/>
    </row>
    <row r="413" spans="9:9" s="163" customFormat="1" x14ac:dyDescent="0.2">
      <c r="I413" s="165"/>
    </row>
    <row r="414" spans="9:9" s="163" customFormat="1" x14ac:dyDescent="0.2">
      <c r="I414" s="165"/>
    </row>
    <row r="415" spans="9:9" s="163" customFormat="1" x14ac:dyDescent="0.2">
      <c r="I415" s="165"/>
    </row>
    <row r="416" spans="9:9" s="163" customFormat="1" x14ac:dyDescent="0.2">
      <c r="I416" s="165"/>
    </row>
    <row r="417" spans="9:9" s="163" customFormat="1" x14ac:dyDescent="0.2">
      <c r="I417" s="165"/>
    </row>
    <row r="418" spans="9:9" s="163" customFormat="1" x14ac:dyDescent="0.2">
      <c r="I418" s="165"/>
    </row>
    <row r="419" spans="9:9" s="163" customFormat="1" x14ac:dyDescent="0.2">
      <c r="I419" s="165"/>
    </row>
    <row r="420" spans="9:9" s="163" customFormat="1" x14ac:dyDescent="0.2">
      <c r="I420" s="165"/>
    </row>
    <row r="421" spans="9:9" s="163" customFormat="1" x14ac:dyDescent="0.2">
      <c r="I421" s="165"/>
    </row>
    <row r="422" spans="9:9" s="163" customFormat="1" x14ac:dyDescent="0.2">
      <c r="I422" s="165"/>
    </row>
    <row r="423" spans="9:9" s="163" customFormat="1" x14ac:dyDescent="0.2">
      <c r="I423" s="165"/>
    </row>
    <row r="424" spans="9:9" s="163" customFormat="1" x14ac:dyDescent="0.2">
      <c r="I424" s="165"/>
    </row>
    <row r="425" spans="9:9" s="163" customFormat="1" x14ac:dyDescent="0.2">
      <c r="I425" s="165"/>
    </row>
    <row r="426" spans="9:9" s="163" customFormat="1" x14ac:dyDescent="0.2">
      <c r="I426" s="165"/>
    </row>
    <row r="427" spans="9:9" s="163" customFormat="1" x14ac:dyDescent="0.2">
      <c r="I427" s="165"/>
    </row>
    <row r="428" spans="9:9" s="163" customFormat="1" x14ac:dyDescent="0.2">
      <c r="I428" s="165"/>
    </row>
    <row r="429" spans="9:9" s="163" customFormat="1" x14ac:dyDescent="0.2">
      <c r="I429" s="165"/>
    </row>
    <row r="430" spans="9:9" s="163" customFormat="1" x14ac:dyDescent="0.2">
      <c r="I430" s="165"/>
    </row>
    <row r="431" spans="9:9" s="163" customFormat="1" x14ac:dyDescent="0.2">
      <c r="I431" s="165"/>
    </row>
    <row r="432" spans="9:9" s="163" customFormat="1" x14ac:dyDescent="0.2">
      <c r="I432" s="165"/>
    </row>
    <row r="433" spans="9:9" s="163" customFormat="1" x14ac:dyDescent="0.2">
      <c r="I433" s="165"/>
    </row>
    <row r="434" spans="9:9" s="163" customFormat="1" x14ac:dyDescent="0.2">
      <c r="I434" s="165"/>
    </row>
    <row r="435" spans="9:9" s="163" customFormat="1" x14ac:dyDescent="0.2">
      <c r="I435" s="165"/>
    </row>
    <row r="436" spans="9:9" s="163" customFormat="1" x14ac:dyDescent="0.2">
      <c r="I436" s="165"/>
    </row>
    <row r="437" spans="9:9" s="163" customFormat="1" x14ac:dyDescent="0.2">
      <c r="I437" s="165"/>
    </row>
    <row r="438" spans="9:9" s="163" customFormat="1" x14ac:dyDescent="0.2">
      <c r="I438" s="165"/>
    </row>
    <row r="439" spans="9:9" s="163" customFormat="1" x14ac:dyDescent="0.2">
      <c r="I439" s="165"/>
    </row>
    <row r="440" spans="9:9" s="163" customFormat="1" x14ac:dyDescent="0.2">
      <c r="I440" s="165"/>
    </row>
    <row r="441" spans="9:9" s="163" customFormat="1" x14ac:dyDescent="0.2">
      <c r="I441" s="165"/>
    </row>
    <row r="442" spans="9:9" s="163" customFormat="1" x14ac:dyDescent="0.2">
      <c r="I442" s="165"/>
    </row>
    <row r="443" spans="9:9" s="163" customFormat="1" x14ac:dyDescent="0.2">
      <c r="I443" s="165"/>
    </row>
    <row r="444" spans="9:9" s="163" customFormat="1" x14ac:dyDescent="0.2">
      <c r="I444" s="165"/>
    </row>
    <row r="445" spans="9:9" s="163" customFormat="1" x14ac:dyDescent="0.2">
      <c r="I445" s="165"/>
    </row>
    <row r="446" spans="9:9" s="163" customFormat="1" x14ac:dyDescent="0.2">
      <c r="I446" s="165"/>
    </row>
    <row r="447" spans="9:9" s="163" customFormat="1" x14ac:dyDescent="0.2">
      <c r="I447" s="165"/>
    </row>
    <row r="448" spans="9:9" s="163" customFormat="1" x14ac:dyDescent="0.2">
      <c r="I448" s="165"/>
    </row>
    <row r="449" spans="9:9" s="163" customFormat="1" x14ac:dyDescent="0.2">
      <c r="I449" s="165"/>
    </row>
    <row r="450" spans="9:9" s="163" customFormat="1" x14ac:dyDescent="0.2">
      <c r="I450" s="165"/>
    </row>
    <row r="451" spans="9:9" s="163" customFormat="1" x14ac:dyDescent="0.2">
      <c r="I451" s="165"/>
    </row>
    <row r="452" spans="9:9" s="163" customFormat="1" x14ac:dyDescent="0.2">
      <c r="I452" s="165"/>
    </row>
    <row r="453" spans="9:9" s="163" customFormat="1" x14ac:dyDescent="0.2">
      <c r="I453" s="165"/>
    </row>
    <row r="454" spans="9:9" s="163" customFormat="1" x14ac:dyDescent="0.2">
      <c r="I454" s="165"/>
    </row>
    <row r="455" spans="9:9" s="163" customFormat="1" x14ac:dyDescent="0.2">
      <c r="I455" s="165"/>
    </row>
    <row r="456" spans="9:9" s="163" customFormat="1" x14ac:dyDescent="0.2">
      <c r="I456" s="165"/>
    </row>
    <row r="457" spans="9:9" s="163" customFormat="1" x14ac:dyDescent="0.2">
      <c r="I457" s="165"/>
    </row>
    <row r="458" spans="9:9" s="163" customFormat="1" x14ac:dyDescent="0.2">
      <c r="I458" s="165"/>
    </row>
    <row r="459" spans="9:9" s="163" customFormat="1" x14ac:dyDescent="0.2">
      <c r="I459" s="165"/>
    </row>
    <row r="460" spans="9:9" s="163" customFormat="1" x14ac:dyDescent="0.2">
      <c r="I460" s="165"/>
    </row>
    <row r="461" spans="9:9" s="163" customFormat="1" x14ac:dyDescent="0.2">
      <c r="I461" s="165"/>
    </row>
    <row r="462" spans="9:9" s="163" customFormat="1" x14ac:dyDescent="0.2">
      <c r="I462" s="165"/>
    </row>
    <row r="463" spans="9:9" s="163" customFormat="1" x14ac:dyDescent="0.2">
      <c r="I463" s="165"/>
    </row>
    <row r="464" spans="9:9" s="163" customFormat="1" x14ac:dyDescent="0.2">
      <c r="I464" s="165"/>
    </row>
    <row r="465" spans="9:9" s="163" customFormat="1" x14ac:dyDescent="0.2">
      <c r="I465" s="165"/>
    </row>
    <row r="466" spans="9:9" s="163" customFormat="1" x14ac:dyDescent="0.2">
      <c r="I466" s="165"/>
    </row>
    <row r="467" spans="9:9" s="163" customFormat="1" x14ac:dyDescent="0.2">
      <c r="I467" s="165"/>
    </row>
    <row r="468" spans="9:9" s="163" customFormat="1" x14ac:dyDescent="0.2">
      <c r="I468" s="165"/>
    </row>
    <row r="469" spans="9:9" s="163" customFormat="1" x14ac:dyDescent="0.2">
      <c r="I469" s="165"/>
    </row>
    <row r="470" spans="9:9" s="163" customFormat="1" x14ac:dyDescent="0.2">
      <c r="I470" s="165"/>
    </row>
    <row r="471" spans="9:9" s="163" customFormat="1" x14ac:dyDescent="0.2">
      <c r="I471" s="165"/>
    </row>
    <row r="472" spans="9:9" s="163" customFormat="1" x14ac:dyDescent="0.2">
      <c r="I472" s="165"/>
    </row>
    <row r="473" spans="9:9" s="163" customFormat="1" x14ac:dyDescent="0.2">
      <c r="I473" s="165"/>
    </row>
    <row r="474" spans="9:9" s="163" customFormat="1" x14ac:dyDescent="0.2">
      <c r="I474" s="165"/>
    </row>
    <row r="475" spans="9:9" s="163" customFormat="1" x14ac:dyDescent="0.2">
      <c r="I475" s="165"/>
    </row>
    <row r="476" spans="9:9" s="163" customFormat="1" x14ac:dyDescent="0.2">
      <c r="I476" s="165"/>
    </row>
    <row r="477" spans="9:9" s="163" customFormat="1" x14ac:dyDescent="0.2">
      <c r="I477" s="165"/>
    </row>
    <row r="478" spans="9:9" s="163" customFormat="1" x14ac:dyDescent="0.2">
      <c r="I478" s="165"/>
    </row>
    <row r="479" spans="9:9" s="163" customFormat="1" x14ac:dyDescent="0.2">
      <c r="I479" s="165"/>
    </row>
    <row r="480" spans="9:9" s="163" customFormat="1" x14ac:dyDescent="0.2">
      <c r="I480" s="165"/>
    </row>
    <row r="481" spans="9:9" s="163" customFormat="1" x14ac:dyDescent="0.2">
      <c r="I481" s="165"/>
    </row>
    <row r="482" spans="9:9" s="163" customFormat="1" x14ac:dyDescent="0.2">
      <c r="I482" s="165"/>
    </row>
    <row r="483" spans="9:9" s="163" customFormat="1" x14ac:dyDescent="0.2">
      <c r="I483" s="165"/>
    </row>
    <row r="484" spans="9:9" s="163" customFormat="1" x14ac:dyDescent="0.2">
      <c r="I484" s="165"/>
    </row>
    <row r="485" spans="9:9" s="163" customFormat="1" x14ac:dyDescent="0.2">
      <c r="I485" s="165"/>
    </row>
    <row r="486" spans="9:9" s="163" customFormat="1" x14ac:dyDescent="0.2">
      <c r="I486" s="165"/>
    </row>
    <row r="487" spans="9:9" s="163" customFormat="1" x14ac:dyDescent="0.2">
      <c r="I487" s="165"/>
    </row>
    <row r="488" spans="9:9" s="163" customFormat="1" x14ac:dyDescent="0.2">
      <c r="I488" s="165"/>
    </row>
    <row r="489" spans="9:9" s="163" customFormat="1" x14ac:dyDescent="0.2">
      <c r="I489" s="165"/>
    </row>
    <row r="490" spans="9:9" s="163" customFormat="1" x14ac:dyDescent="0.2">
      <c r="I490" s="165"/>
    </row>
    <row r="491" spans="9:9" s="163" customFormat="1" x14ac:dyDescent="0.2">
      <c r="I491" s="165"/>
    </row>
    <row r="492" spans="9:9" s="163" customFormat="1" x14ac:dyDescent="0.2">
      <c r="I492" s="165"/>
    </row>
    <row r="493" spans="9:9" s="163" customFormat="1" x14ac:dyDescent="0.2">
      <c r="I493" s="165"/>
    </row>
    <row r="494" spans="9:9" s="163" customFormat="1" x14ac:dyDescent="0.2">
      <c r="I494" s="165"/>
    </row>
    <row r="495" spans="9:9" s="163" customFormat="1" x14ac:dyDescent="0.2">
      <c r="I495" s="165"/>
    </row>
    <row r="496" spans="9:9" s="163" customFormat="1" x14ac:dyDescent="0.2">
      <c r="I496" s="165"/>
    </row>
    <row r="497" spans="9:9" s="163" customFormat="1" x14ac:dyDescent="0.2">
      <c r="I497" s="165"/>
    </row>
    <row r="498" spans="9:9" s="163" customFormat="1" x14ac:dyDescent="0.2">
      <c r="I498" s="165"/>
    </row>
    <row r="499" spans="9:9" s="163" customFormat="1" x14ac:dyDescent="0.2">
      <c r="I499" s="165"/>
    </row>
    <row r="500" spans="9:9" s="163" customFormat="1" x14ac:dyDescent="0.2">
      <c r="I500" s="165"/>
    </row>
    <row r="501" spans="9:9" s="163" customFormat="1" x14ac:dyDescent="0.2">
      <c r="I501" s="165"/>
    </row>
    <row r="502" spans="9:9" s="163" customFormat="1" x14ac:dyDescent="0.2">
      <c r="I502" s="165"/>
    </row>
    <row r="503" spans="9:9" s="163" customFormat="1" x14ac:dyDescent="0.2">
      <c r="I503" s="165"/>
    </row>
    <row r="504" spans="9:9" s="163" customFormat="1" x14ac:dyDescent="0.2">
      <c r="I504" s="165"/>
    </row>
    <row r="505" spans="9:9" s="163" customFormat="1" x14ac:dyDescent="0.2">
      <c r="I505" s="165"/>
    </row>
    <row r="506" spans="9:9" s="163" customFormat="1" x14ac:dyDescent="0.2">
      <c r="I506" s="165"/>
    </row>
    <row r="507" spans="9:9" s="163" customFormat="1" x14ac:dyDescent="0.2">
      <c r="I507" s="165"/>
    </row>
    <row r="508" spans="9:9" s="163" customFormat="1" x14ac:dyDescent="0.2">
      <c r="I508" s="165"/>
    </row>
    <row r="509" spans="9:9" s="163" customFormat="1" x14ac:dyDescent="0.2">
      <c r="I509" s="165"/>
    </row>
    <row r="510" spans="9:9" s="163" customFormat="1" x14ac:dyDescent="0.2">
      <c r="I510" s="165"/>
    </row>
    <row r="511" spans="9:9" s="163" customFormat="1" x14ac:dyDescent="0.2">
      <c r="I511" s="165"/>
    </row>
    <row r="512" spans="9:9" s="163" customFormat="1" x14ac:dyDescent="0.2">
      <c r="I512" s="165"/>
    </row>
    <row r="513" spans="9:9" s="163" customFormat="1" x14ac:dyDescent="0.2">
      <c r="I513" s="165"/>
    </row>
    <row r="514" spans="9:9" s="163" customFormat="1" x14ac:dyDescent="0.2">
      <c r="I514" s="165"/>
    </row>
    <row r="515" spans="9:9" s="163" customFormat="1" x14ac:dyDescent="0.2">
      <c r="I515" s="165"/>
    </row>
    <row r="516" spans="9:9" s="163" customFormat="1" x14ac:dyDescent="0.2">
      <c r="I516" s="165"/>
    </row>
    <row r="517" spans="9:9" s="163" customFormat="1" x14ac:dyDescent="0.2">
      <c r="I517" s="165"/>
    </row>
    <row r="518" spans="9:9" s="163" customFormat="1" x14ac:dyDescent="0.2">
      <c r="I518" s="165"/>
    </row>
    <row r="519" spans="9:9" s="163" customFormat="1" x14ac:dyDescent="0.2">
      <c r="I519" s="165"/>
    </row>
    <row r="520" spans="9:9" s="163" customFormat="1" x14ac:dyDescent="0.2">
      <c r="I520" s="165"/>
    </row>
    <row r="521" spans="9:9" s="163" customFormat="1" x14ac:dyDescent="0.2">
      <c r="I521" s="165"/>
    </row>
    <row r="522" spans="9:9" s="163" customFormat="1" x14ac:dyDescent="0.2">
      <c r="I522" s="165"/>
    </row>
    <row r="523" spans="9:9" s="163" customFormat="1" x14ac:dyDescent="0.2">
      <c r="I523" s="165"/>
    </row>
    <row r="524" spans="9:9" s="163" customFormat="1" x14ac:dyDescent="0.2">
      <c r="I524" s="165"/>
    </row>
    <row r="525" spans="9:9" s="163" customFormat="1" x14ac:dyDescent="0.2">
      <c r="I525" s="165"/>
    </row>
    <row r="526" spans="9:9" s="163" customFormat="1" x14ac:dyDescent="0.2">
      <c r="I526" s="165"/>
    </row>
    <row r="527" spans="9:9" s="163" customFormat="1" x14ac:dyDescent="0.2">
      <c r="I527" s="165"/>
    </row>
    <row r="528" spans="9:9" s="163" customFormat="1" x14ac:dyDescent="0.2">
      <c r="I528" s="165"/>
    </row>
    <row r="529" spans="9:9" s="163" customFormat="1" x14ac:dyDescent="0.2">
      <c r="I529" s="165"/>
    </row>
    <row r="530" spans="9:9" s="163" customFormat="1" x14ac:dyDescent="0.2">
      <c r="I530" s="165"/>
    </row>
    <row r="531" spans="9:9" s="163" customFormat="1" x14ac:dyDescent="0.2">
      <c r="I531" s="165"/>
    </row>
    <row r="532" spans="9:9" s="163" customFormat="1" x14ac:dyDescent="0.2">
      <c r="I532" s="165"/>
    </row>
    <row r="533" spans="9:9" s="163" customFormat="1" x14ac:dyDescent="0.2">
      <c r="I533" s="165"/>
    </row>
    <row r="534" spans="9:9" s="163" customFormat="1" x14ac:dyDescent="0.2">
      <c r="I534" s="165"/>
    </row>
    <row r="535" spans="9:9" s="163" customFormat="1" x14ac:dyDescent="0.2">
      <c r="I535" s="165"/>
    </row>
    <row r="536" spans="9:9" s="163" customFormat="1" x14ac:dyDescent="0.2">
      <c r="I536" s="165"/>
    </row>
    <row r="537" spans="9:9" s="163" customFormat="1" x14ac:dyDescent="0.2">
      <c r="I537" s="165"/>
    </row>
    <row r="538" spans="9:9" s="163" customFormat="1" x14ac:dyDescent="0.2">
      <c r="I538" s="165"/>
    </row>
    <row r="539" spans="9:9" s="163" customFormat="1" x14ac:dyDescent="0.2">
      <c r="I539" s="165"/>
    </row>
    <row r="540" spans="9:9" s="163" customFormat="1" x14ac:dyDescent="0.2">
      <c r="I540" s="165"/>
    </row>
    <row r="541" spans="9:9" s="163" customFormat="1" x14ac:dyDescent="0.2">
      <c r="I541" s="165"/>
    </row>
    <row r="542" spans="9:9" s="163" customFormat="1" x14ac:dyDescent="0.2">
      <c r="I542" s="165"/>
    </row>
    <row r="543" spans="9:9" s="163" customFormat="1" x14ac:dyDescent="0.2">
      <c r="I543" s="165"/>
    </row>
    <row r="544" spans="9:9" s="163" customFormat="1" x14ac:dyDescent="0.2">
      <c r="I544" s="165"/>
    </row>
    <row r="545" spans="9:9" s="163" customFormat="1" x14ac:dyDescent="0.2">
      <c r="I545" s="165"/>
    </row>
    <row r="546" spans="9:9" s="163" customFormat="1" x14ac:dyDescent="0.2">
      <c r="I546" s="165"/>
    </row>
    <row r="547" spans="9:9" s="163" customFormat="1" x14ac:dyDescent="0.2">
      <c r="I547" s="165"/>
    </row>
    <row r="548" spans="9:9" s="163" customFormat="1" x14ac:dyDescent="0.2">
      <c r="I548" s="165"/>
    </row>
    <row r="549" spans="9:9" s="163" customFormat="1" x14ac:dyDescent="0.2">
      <c r="I549" s="165"/>
    </row>
    <row r="550" spans="9:9" s="163" customFormat="1" x14ac:dyDescent="0.2">
      <c r="I550" s="165"/>
    </row>
    <row r="551" spans="9:9" s="163" customFormat="1" x14ac:dyDescent="0.2">
      <c r="I551" s="165"/>
    </row>
    <row r="552" spans="9:9" s="163" customFormat="1" x14ac:dyDescent="0.2">
      <c r="I552" s="165"/>
    </row>
    <row r="553" spans="9:9" s="163" customFormat="1" x14ac:dyDescent="0.2">
      <c r="I553" s="165"/>
    </row>
    <row r="554" spans="9:9" s="163" customFormat="1" x14ac:dyDescent="0.2">
      <c r="I554" s="165"/>
    </row>
    <row r="555" spans="9:9" s="163" customFormat="1" x14ac:dyDescent="0.2">
      <c r="I555" s="165"/>
    </row>
    <row r="556" spans="9:9" s="163" customFormat="1" x14ac:dyDescent="0.2">
      <c r="I556" s="165"/>
    </row>
    <row r="557" spans="9:9" s="163" customFormat="1" x14ac:dyDescent="0.2">
      <c r="I557" s="165"/>
    </row>
    <row r="558" spans="9:9" s="163" customFormat="1" x14ac:dyDescent="0.2">
      <c r="I558" s="165"/>
    </row>
    <row r="559" spans="9:9" s="163" customFormat="1" x14ac:dyDescent="0.2">
      <c r="I559" s="165"/>
    </row>
    <row r="560" spans="9:9" s="163" customFormat="1" x14ac:dyDescent="0.2">
      <c r="I560" s="165"/>
    </row>
    <row r="561" spans="9:9" s="163" customFormat="1" x14ac:dyDescent="0.2">
      <c r="I561" s="165"/>
    </row>
    <row r="562" spans="9:9" s="163" customFormat="1" x14ac:dyDescent="0.2">
      <c r="I562" s="165"/>
    </row>
    <row r="563" spans="9:9" s="163" customFormat="1" x14ac:dyDescent="0.2">
      <c r="I563" s="165"/>
    </row>
    <row r="564" spans="9:9" s="163" customFormat="1" x14ac:dyDescent="0.2">
      <c r="I564" s="165"/>
    </row>
    <row r="565" spans="9:9" s="163" customFormat="1" x14ac:dyDescent="0.2">
      <c r="I565" s="165"/>
    </row>
    <row r="566" spans="9:9" s="163" customFormat="1" x14ac:dyDescent="0.2">
      <c r="I566" s="165"/>
    </row>
    <row r="567" spans="9:9" s="163" customFormat="1" x14ac:dyDescent="0.2">
      <c r="I567" s="165"/>
    </row>
    <row r="568" spans="9:9" s="163" customFormat="1" x14ac:dyDescent="0.2">
      <c r="I568" s="165"/>
    </row>
    <row r="569" spans="9:9" s="163" customFormat="1" x14ac:dyDescent="0.2">
      <c r="I569" s="165"/>
    </row>
    <row r="570" spans="9:9" s="163" customFormat="1" x14ac:dyDescent="0.2">
      <c r="I570" s="165"/>
    </row>
    <row r="571" spans="9:9" s="163" customFormat="1" x14ac:dyDescent="0.2">
      <c r="I571" s="165"/>
    </row>
    <row r="572" spans="9:9" s="163" customFormat="1" x14ac:dyDescent="0.2">
      <c r="I572" s="165"/>
    </row>
    <row r="573" spans="9:9" s="163" customFormat="1" x14ac:dyDescent="0.2">
      <c r="I573" s="165"/>
    </row>
    <row r="574" spans="9:9" s="163" customFormat="1" x14ac:dyDescent="0.2">
      <c r="I574" s="165"/>
    </row>
    <row r="575" spans="9:9" s="163" customFormat="1" x14ac:dyDescent="0.2">
      <c r="I575" s="165"/>
    </row>
    <row r="576" spans="9:9" s="163" customFormat="1" x14ac:dyDescent="0.2">
      <c r="I576" s="165"/>
    </row>
    <row r="577" spans="9:9" s="163" customFormat="1" x14ac:dyDescent="0.2">
      <c r="I577" s="165"/>
    </row>
    <row r="578" spans="9:9" s="163" customFormat="1" x14ac:dyDescent="0.2">
      <c r="I578" s="165"/>
    </row>
    <row r="579" spans="9:9" s="163" customFormat="1" x14ac:dyDescent="0.2">
      <c r="I579" s="165"/>
    </row>
    <row r="580" spans="9:9" s="163" customFormat="1" x14ac:dyDescent="0.2">
      <c r="I580" s="165"/>
    </row>
    <row r="581" spans="9:9" s="163" customFormat="1" x14ac:dyDescent="0.2">
      <c r="I581" s="165"/>
    </row>
    <row r="582" spans="9:9" s="163" customFormat="1" x14ac:dyDescent="0.2">
      <c r="I582" s="165"/>
    </row>
    <row r="583" spans="9:9" s="163" customFormat="1" x14ac:dyDescent="0.2">
      <c r="I583" s="165"/>
    </row>
    <row r="584" spans="9:9" s="163" customFormat="1" x14ac:dyDescent="0.2">
      <c r="I584" s="165"/>
    </row>
    <row r="585" spans="9:9" s="163" customFormat="1" x14ac:dyDescent="0.2">
      <c r="I585" s="165"/>
    </row>
    <row r="586" spans="9:9" s="163" customFormat="1" x14ac:dyDescent="0.2">
      <c r="I586" s="165"/>
    </row>
    <row r="587" spans="9:9" s="163" customFormat="1" x14ac:dyDescent="0.2">
      <c r="I587" s="165"/>
    </row>
    <row r="588" spans="9:9" s="163" customFormat="1" x14ac:dyDescent="0.2">
      <c r="I588" s="165"/>
    </row>
    <row r="589" spans="9:9" s="163" customFormat="1" x14ac:dyDescent="0.2">
      <c r="I589" s="165"/>
    </row>
    <row r="590" spans="9:9" s="163" customFormat="1" x14ac:dyDescent="0.2">
      <c r="I590" s="165"/>
    </row>
    <row r="591" spans="9:9" s="163" customFormat="1" x14ac:dyDescent="0.2">
      <c r="I591" s="165"/>
    </row>
    <row r="592" spans="9:9" s="163" customFormat="1" x14ac:dyDescent="0.2">
      <c r="I592" s="165"/>
    </row>
    <row r="593" spans="9:9" s="163" customFormat="1" x14ac:dyDescent="0.2">
      <c r="I593" s="165"/>
    </row>
    <row r="594" spans="9:9" s="163" customFormat="1" x14ac:dyDescent="0.2">
      <c r="I594" s="165"/>
    </row>
    <row r="595" spans="9:9" s="163" customFormat="1" x14ac:dyDescent="0.2">
      <c r="I595" s="165"/>
    </row>
    <row r="596" spans="9:9" s="163" customFormat="1" x14ac:dyDescent="0.2">
      <c r="I596" s="165"/>
    </row>
    <row r="597" spans="9:9" s="163" customFormat="1" x14ac:dyDescent="0.2">
      <c r="I597" s="165"/>
    </row>
    <row r="598" spans="9:9" s="163" customFormat="1" x14ac:dyDescent="0.2">
      <c r="I598" s="165"/>
    </row>
    <row r="599" spans="9:9" s="163" customFormat="1" x14ac:dyDescent="0.2">
      <c r="I599" s="165"/>
    </row>
    <row r="600" spans="9:9" s="163" customFormat="1" x14ac:dyDescent="0.2">
      <c r="I600" s="165"/>
    </row>
    <row r="601" spans="9:9" s="163" customFormat="1" x14ac:dyDescent="0.2">
      <c r="I601" s="165"/>
    </row>
    <row r="602" spans="9:9" s="163" customFormat="1" x14ac:dyDescent="0.2">
      <c r="I602" s="165"/>
    </row>
    <row r="603" spans="9:9" s="163" customFormat="1" x14ac:dyDescent="0.2">
      <c r="I603" s="165"/>
    </row>
    <row r="604" spans="9:9" s="163" customFormat="1" x14ac:dyDescent="0.2">
      <c r="I604" s="165"/>
    </row>
    <row r="605" spans="9:9" s="163" customFormat="1" x14ac:dyDescent="0.2">
      <c r="I605" s="165"/>
    </row>
    <row r="606" spans="9:9" s="163" customFormat="1" x14ac:dyDescent="0.2">
      <c r="I606" s="165"/>
    </row>
    <row r="607" spans="9:9" s="163" customFormat="1" x14ac:dyDescent="0.2">
      <c r="I607" s="165"/>
    </row>
    <row r="608" spans="9:9" s="163" customFormat="1" x14ac:dyDescent="0.2">
      <c r="I608" s="165"/>
    </row>
    <row r="609" spans="9:9" s="163" customFormat="1" x14ac:dyDescent="0.2">
      <c r="I609" s="165"/>
    </row>
    <row r="610" spans="9:9" s="163" customFormat="1" x14ac:dyDescent="0.2">
      <c r="I610" s="165"/>
    </row>
    <row r="611" spans="9:9" s="163" customFormat="1" x14ac:dyDescent="0.2">
      <c r="I611" s="165"/>
    </row>
    <row r="612" spans="9:9" s="163" customFormat="1" x14ac:dyDescent="0.2">
      <c r="I612" s="165"/>
    </row>
    <row r="613" spans="9:9" s="163" customFormat="1" x14ac:dyDescent="0.2">
      <c r="I613" s="165"/>
    </row>
    <row r="614" spans="9:9" s="163" customFormat="1" x14ac:dyDescent="0.2">
      <c r="I614" s="165"/>
    </row>
    <row r="615" spans="9:9" s="163" customFormat="1" x14ac:dyDescent="0.2">
      <c r="I615" s="165"/>
    </row>
    <row r="616" spans="9:9" s="163" customFormat="1" x14ac:dyDescent="0.2">
      <c r="I616" s="165"/>
    </row>
    <row r="617" spans="9:9" s="163" customFormat="1" x14ac:dyDescent="0.2">
      <c r="I617" s="165"/>
    </row>
    <row r="618" spans="9:9" s="163" customFormat="1" x14ac:dyDescent="0.2">
      <c r="I618" s="165"/>
    </row>
    <row r="619" spans="9:9" s="163" customFormat="1" x14ac:dyDescent="0.2">
      <c r="I619" s="165"/>
    </row>
    <row r="620" spans="9:9" s="163" customFormat="1" x14ac:dyDescent="0.2">
      <c r="I620" s="165"/>
    </row>
    <row r="621" spans="9:9" s="163" customFormat="1" x14ac:dyDescent="0.2">
      <c r="I621" s="165"/>
    </row>
    <row r="622" spans="9:9" s="163" customFormat="1" x14ac:dyDescent="0.2">
      <c r="I622" s="165"/>
    </row>
    <row r="623" spans="9:9" s="163" customFormat="1" x14ac:dyDescent="0.2">
      <c r="I623" s="165"/>
    </row>
    <row r="624" spans="9:9" s="163" customFormat="1" x14ac:dyDescent="0.2">
      <c r="I624" s="165"/>
    </row>
    <row r="625" spans="9:9" s="163" customFormat="1" x14ac:dyDescent="0.2">
      <c r="I625" s="165"/>
    </row>
    <row r="626" spans="9:9" s="163" customFormat="1" x14ac:dyDescent="0.2">
      <c r="I626" s="165"/>
    </row>
    <row r="627" spans="9:9" s="163" customFormat="1" x14ac:dyDescent="0.2">
      <c r="I627" s="165"/>
    </row>
    <row r="628" spans="9:9" s="163" customFormat="1" x14ac:dyDescent="0.2">
      <c r="I628" s="165"/>
    </row>
    <row r="629" spans="9:9" s="163" customFormat="1" x14ac:dyDescent="0.2">
      <c r="I629" s="165"/>
    </row>
    <row r="630" spans="9:9" s="163" customFormat="1" x14ac:dyDescent="0.2">
      <c r="I630" s="165"/>
    </row>
    <row r="631" spans="9:9" s="163" customFormat="1" x14ac:dyDescent="0.2">
      <c r="I631" s="165"/>
    </row>
    <row r="632" spans="9:9" s="163" customFormat="1" x14ac:dyDescent="0.2">
      <c r="I632" s="165"/>
    </row>
    <row r="633" spans="9:9" s="163" customFormat="1" x14ac:dyDescent="0.2">
      <c r="I633" s="165"/>
    </row>
    <row r="634" spans="9:9" s="163" customFormat="1" x14ac:dyDescent="0.2">
      <c r="I634" s="165"/>
    </row>
    <row r="635" spans="9:9" s="163" customFormat="1" x14ac:dyDescent="0.2">
      <c r="I635" s="165"/>
    </row>
    <row r="636" spans="9:9" s="163" customFormat="1" x14ac:dyDescent="0.2">
      <c r="I636" s="165"/>
    </row>
    <row r="637" spans="9:9" s="163" customFormat="1" x14ac:dyDescent="0.2">
      <c r="I637" s="165"/>
    </row>
    <row r="638" spans="9:9" s="163" customFormat="1" x14ac:dyDescent="0.2">
      <c r="I638" s="165"/>
    </row>
    <row r="639" spans="9:9" s="163" customFormat="1" x14ac:dyDescent="0.2">
      <c r="I639" s="165"/>
    </row>
    <row r="640" spans="9:9" s="163" customFormat="1" x14ac:dyDescent="0.2">
      <c r="I640" s="165"/>
    </row>
    <row r="641" spans="9:9" s="163" customFormat="1" x14ac:dyDescent="0.2">
      <c r="I641" s="165"/>
    </row>
    <row r="642" spans="9:9" s="163" customFormat="1" x14ac:dyDescent="0.2">
      <c r="I642" s="165"/>
    </row>
    <row r="643" spans="9:9" s="163" customFormat="1" x14ac:dyDescent="0.2">
      <c r="I643" s="165"/>
    </row>
    <row r="644" spans="9:9" s="163" customFormat="1" x14ac:dyDescent="0.2">
      <c r="I644" s="165"/>
    </row>
    <row r="645" spans="9:9" s="163" customFormat="1" x14ac:dyDescent="0.2">
      <c r="I645" s="165"/>
    </row>
    <row r="646" spans="9:9" s="163" customFormat="1" x14ac:dyDescent="0.2">
      <c r="I646" s="165"/>
    </row>
    <row r="647" spans="9:9" s="163" customFormat="1" x14ac:dyDescent="0.2">
      <c r="I647" s="165"/>
    </row>
    <row r="648" spans="9:9" s="163" customFormat="1" x14ac:dyDescent="0.2">
      <c r="I648" s="165"/>
    </row>
    <row r="649" spans="9:9" s="163" customFormat="1" x14ac:dyDescent="0.2">
      <c r="I649" s="165"/>
    </row>
    <row r="650" spans="9:9" s="163" customFormat="1" x14ac:dyDescent="0.2">
      <c r="I650" s="165"/>
    </row>
    <row r="651" spans="9:9" s="163" customFormat="1" x14ac:dyDescent="0.2">
      <c r="I651" s="165"/>
    </row>
    <row r="652" spans="9:9" s="163" customFormat="1" x14ac:dyDescent="0.2">
      <c r="I652" s="165"/>
    </row>
    <row r="653" spans="9:9" s="163" customFormat="1" x14ac:dyDescent="0.2">
      <c r="I653" s="165"/>
    </row>
    <row r="654" spans="9:9" s="163" customFormat="1" x14ac:dyDescent="0.2">
      <c r="I654" s="165"/>
    </row>
    <row r="655" spans="9:9" s="163" customFormat="1" x14ac:dyDescent="0.2">
      <c r="I655" s="165"/>
    </row>
    <row r="656" spans="9:9" s="163" customFormat="1" x14ac:dyDescent="0.2">
      <c r="I656" s="165"/>
    </row>
    <row r="657" spans="9:9" s="163" customFormat="1" x14ac:dyDescent="0.2">
      <c r="I657" s="165"/>
    </row>
    <row r="658" spans="9:9" s="163" customFormat="1" x14ac:dyDescent="0.2">
      <c r="I658" s="165"/>
    </row>
    <row r="659" spans="9:9" s="163" customFormat="1" x14ac:dyDescent="0.2">
      <c r="I659" s="165"/>
    </row>
    <row r="660" spans="9:9" s="163" customFormat="1" x14ac:dyDescent="0.2">
      <c r="I660" s="165"/>
    </row>
    <row r="661" spans="9:9" s="163" customFormat="1" x14ac:dyDescent="0.2">
      <c r="I661" s="165"/>
    </row>
    <row r="662" spans="9:9" s="163" customFormat="1" x14ac:dyDescent="0.2">
      <c r="I662" s="165"/>
    </row>
    <row r="663" spans="9:9" s="163" customFormat="1" x14ac:dyDescent="0.2">
      <c r="I663" s="165"/>
    </row>
    <row r="664" spans="9:9" s="163" customFormat="1" x14ac:dyDescent="0.2">
      <c r="I664" s="165"/>
    </row>
    <row r="665" spans="9:9" s="163" customFormat="1" x14ac:dyDescent="0.2">
      <c r="I665" s="165"/>
    </row>
    <row r="666" spans="9:9" s="163" customFormat="1" x14ac:dyDescent="0.2">
      <c r="I666" s="165"/>
    </row>
    <row r="667" spans="9:9" s="163" customFormat="1" x14ac:dyDescent="0.2">
      <c r="I667" s="165"/>
    </row>
    <row r="668" spans="9:9" s="163" customFormat="1" x14ac:dyDescent="0.2">
      <c r="I668" s="165"/>
    </row>
    <row r="669" spans="9:9" s="163" customFormat="1" x14ac:dyDescent="0.2">
      <c r="I669" s="165"/>
    </row>
    <row r="670" spans="9:9" s="163" customFormat="1" x14ac:dyDescent="0.2">
      <c r="I670" s="165"/>
    </row>
    <row r="671" spans="9:9" s="163" customFormat="1" x14ac:dyDescent="0.2">
      <c r="I671" s="165"/>
    </row>
    <row r="672" spans="9:9" s="163" customFormat="1" x14ac:dyDescent="0.2">
      <c r="I672" s="165"/>
    </row>
    <row r="673" spans="9:9" s="163" customFormat="1" x14ac:dyDescent="0.2">
      <c r="I673" s="165"/>
    </row>
    <row r="674" spans="9:9" s="163" customFormat="1" x14ac:dyDescent="0.2">
      <c r="I674" s="165"/>
    </row>
    <row r="675" spans="9:9" s="163" customFormat="1" x14ac:dyDescent="0.2">
      <c r="I675" s="165"/>
    </row>
    <row r="676" spans="9:9" s="163" customFormat="1" x14ac:dyDescent="0.2">
      <c r="I676" s="165"/>
    </row>
    <row r="677" spans="9:9" s="163" customFormat="1" x14ac:dyDescent="0.2">
      <c r="I677" s="165"/>
    </row>
    <row r="678" spans="9:9" s="163" customFormat="1" x14ac:dyDescent="0.2">
      <c r="I678" s="165"/>
    </row>
    <row r="679" spans="9:9" s="163" customFormat="1" x14ac:dyDescent="0.2">
      <c r="I679" s="165"/>
    </row>
    <row r="680" spans="9:9" s="163" customFormat="1" x14ac:dyDescent="0.2">
      <c r="I680" s="165"/>
    </row>
    <row r="681" spans="9:9" s="163" customFormat="1" x14ac:dyDescent="0.2">
      <c r="I681" s="165"/>
    </row>
    <row r="682" spans="9:9" s="163" customFormat="1" x14ac:dyDescent="0.2">
      <c r="I682" s="165"/>
    </row>
    <row r="683" spans="9:9" s="163" customFormat="1" x14ac:dyDescent="0.2">
      <c r="I683" s="165"/>
    </row>
    <row r="684" spans="9:9" s="163" customFormat="1" x14ac:dyDescent="0.2">
      <c r="I684" s="165"/>
    </row>
    <row r="685" spans="9:9" s="163" customFormat="1" x14ac:dyDescent="0.2">
      <c r="I685" s="165"/>
    </row>
    <row r="686" spans="9:9" s="163" customFormat="1" x14ac:dyDescent="0.2">
      <c r="I686" s="165"/>
    </row>
    <row r="687" spans="9:9" s="163" customFormat="1" x14ac:dyDescent="0.2">
      <c r="I687" s="165"/>
    </row>
    <row r="688" spans="9:9" s="163" customFormat="1" x14ac:dyDescent="0.2">
      <c r="I688" s="165"/>
    </row>
    <row r="689" spans="9:9" s="163" customFormat="1" x14ac:dyDescent="0.2">
      <c r="I689" s="165"/>
    </row>
    <row r="690" spans="9:9" s="163" customFormat="1" x14ac:dyDescent="0.2">
      <c r="I690" s="165"/>
    </row>
    <row r="691" spans="9:9" s="163" customFormat="1" x14ac:dyDescent="0.2">
      <c r="I691" s="165"/>
    </row>
    <row r="692" spans="9:9" s="163" customFormat="1" x14ac:dyDescent="0.2">
      <c r="I692" s="165"/>
    </row>
    <row r="693" spans="9:9" s="163" customFormat="1" x14ac:dyDescent="0.2">
      <c r="I693" s="165"/>
    </row>
    <row r="694" spans="9:9" s="163" customFormat="1" x14ac:dyDescent="0.2">
      <c r="I694" s="165"/>
    </row>
    <row r="695" spans="9:9" s="163" customFormat="1" x14ac:dyDescent="0.2">
      <c r="I695" s="165"/>
    </row>
    <row r="696" spans="9:9" s="163" customFormat="1" x14ac:dyDescent="0.2">
      <c r="I696" s="165"/>
    </row>
    <row r="697" spans="9:9" s="163" customFormat="1" x14ac:dyDescent="0.2">
      <c r="I697" s="165"/>
    </row>
    <row r="698" spans="9:9" s="163" customFormat="1" x14ac:dyDescent="0.2">
      <c r="I698" s="165"/>
    </row>
    <row r="699" spans="9:9" s="163" customFormat="1" x14ac:dyDescent="0.2">
      <c r="I699" s="165"/>
    </row>
    <row r="700" spans="9:9" s="163" customFormat="1" x14ac:dyDescent="0.2">
      <c r="I700" s="165"/>
    </row>
    <row r="701" spans="9:9" s="163" customFormat="1" x14ac:dyDescent="0.2">
      <c r="I701" s="165"/>
    </row>
    <row r="702" spans="9:9" s="163" customFormat="1" x14ac:dyDescent="0.2">
      <c r="I702" s="165"/>
    </row>
    <row r="703" spans="9:9" s="163" customFormat="1" x14ac:dyDescent="0.2">
      <c r="I703" s="165"/>
    </row>
    <row r="704" spans="9:9" s="163" customFormat="1" x14ac:dyDescent="0.2">
      <c r="I704" s="165"/>
    </row>
    <row r="705" spans="9:9" s="163" customFormat="1" x14ac:dyDescent="0.2">
      <c r="I705" s="165"/>
    </row>
    <row r="706" spans="9:9" s="163" customFormat="1" x14ac:dyDescent="0.2">
      <c r="I706" s="165"/>
    </row>
    <row r="707" spans="9:9" s="163" customFormat="1" x14ac:dyDescent="0.2">
      <c r="I707" s="165"/>
    </row>
    <row r="708" spans="9:9" s="163" customFormat="1" x14ac:dyDescent="0.2">
      <c r="I708" s="165"/>
    </row>
    <row r="709" spans="9:9" s="163" customFormat="1" x14ac:dyDescent="0.2">
      <c r="I709" s="165"/>
    </row>
    <row r="710" spans="9:9" s="163" customFormat="1" x14ac:dyDescent="0.2">
      <c r="I710" s="165"/>
    </row>
    <row r="711" spans="9:9" s="163" customFormat="1" x14ac:dyDescent="0.2">
      <c r="I711" s="165"/>
    </row>
    <row r="712" spans="9:9" s="163" customFormat="1" x14ac:dyDescent="0.2">
      <c r="I712" s="165"/>
    </row>
    <row r="713" spans="9:9" s="163" customFormat="1" x14ac:dyDescent="0.2">
      <c r="I713" s="165"/>
    </row>
    <row r="714" spans="9:9" s="163" customFormat="1" x14ac:dyDescent="0.2">
      <c r="I714" s="165"/>
    </row>
    <row r="715" spans="9:9" s="163" customFormat="1" x14ac:dyDescent="0.2">
      <c r="I715" s="165"/>
    </row>
    <row r="716" spans="9:9" s="163" customFormat="1" x14ac:dyDescent="0.2">
      <c r="I716" s="165"/>
    </row>
    <row r="717" spans="9:9" s="163" customFormat="1" x14ac:dyDescent="0.2">
      <c r="I717" s="165"/>
    </row>
    <row r="718" spans="9:9" s="163" customFormat="1" x14ac:dyDescent="0.2">
      <c r="I718" s="165"/>
    </row>
    <row r="719" spans="9:9" s="163" customFormat="1" x14ac:dyDescent="0.2">
      <c r="I719" s="165"/>
    </row>
    <row r="720" spans="9:9" s="163" customFormat="1" x14ac:dyDescent="0.2">
      <c r="I720" s="165"/>
    </row>
    <row r="721" spans="9:9" s="163" customFormat="1" x14ac:dyDescent="0.2">
      <c r="I721" s="165"/>
    </row>
    <row r="722" spans="9:9" s="163" customFormat="1" x14ac:dyDescent="0.2">
      <c r="I722" s="165"/>
    </row>
    <row r="723" spans="9:9" s="163" customFormat="1" x14ac:dyDescent="0.2">
      <c r="I723" s="165"/>
    </row>
    <row r="724" spans="9:9" s="163" customFormat="1" x14ac:dyDescent="0.2">
      <c r="I724" s="165"/>
    </row>
    <row r="725" spans="9:9" s="163" customFormat="1" x14ac:dyDescent="0.2">
      <c r="I725" s="165"/>
    </row>
    <row r="726" spans="9:9" s="163" customFormat="1" x14ac:dyDescent="0.2">
      <c r="I726" s="165"/>
    </row>
    <row r="727" spans="9:9" s="163" customFormat="1" x14ac:dyDescent="0.2">
      <c r="I727" s="165"/>
    </row>
    <row r="728" spans="9:9" s="163" customFormat="1" x14ac:dyDescent="0.2">
      <c r="I728" s="165"/>
    </row>
    <row r="729" spans="9:9" s="163" customFormat="1" x14ac:dyDescent="0.2">
      <c r="I729" s="165"/>
    </row>
    <row r="730" spans="9:9" s="163" customFormat="1" x14ac:dyDescent="0.2">
      <c r="I730" s="165"/>
    </row>
    <row r="731" spans="9:9" s="163" customFormat="1" x14ac:dyDescent="0.2">
      <c r="I731" s="165"/>
    </row>
    <row r="732" spans="9:9" s="163" customFormat="1" x14ac:dyDescent="0.2">
      <c r="I732" s="165"/>
    </row>
    <row r="733" spans="9:9" s="163" customFormat="1" x14ac:dyDescent="0.2">
      <c r="I733" s="165"/>
    </row>
    <row r="734" spans="9:9" s="163" customFormat="1" x14ac:dyDescent="0.2">
      <c r="I734" s="165"/>
    </row>
    <row r="735" spans="9:9" s="163" customFormat="1" x14ac:dyDescent="0.2">
      <c r="I735" s="165"/>
    </row>
    <row r="736" spans="9:9" s="163" customFormat="1" x14ac:dyDescent="0.2">
      <c r="I736" s="165"/>
    </row>
    <row r="737" spans="9:9" s="163" customFormat="1" x14ac:dyDescent="0.2">
      <c r="I737" s="165"/>
    </row>
    <row r="738" spans="9:9" s="163" customFormat="1" x14ac:dyDescent="0.2">
      <c r="I738" s="165"/>
    </row>
    <row r="739" spans="9:9" s="163" customFormat="1" x14ac:dyDescent="0.2">
      <c r="I739" s="165"/>
    </row>
    <row r="740" spans="9:9" s="163" customFormat="1" x14ac:dyDescent="0.2">
      <c r="I740" s="165"/>
    </row>
    <row r="741" spans="9:9" s="163" customFormat="1" x14ac:dyDescent="0.2">
      <c r="I741" s="165"/>
    </row>
    <row r="742" spans="9:9" s="163" customFormat="1" x14ac:dyDescent="0.2">
      <c r="I742" s="165"/>
    </row>
    <row r="743" spans="9:9" s="163" customFormat="1" x14ac:dyDescent="0.2">
      <c r="I743" s="165"/>
    </row>
    <row r="744" spans="9:9" s="163" customFormat="1" x14ac:dyDescent="0.2">
      <c r="I744" s="165"/>
    </row>
    <row r="745" spans="9:9" s="163" customFormat="1" x14ac:dyDescent="0.2">
      <c r="I745" s="165"/>
    </row>
    <row r="746" spans="9:9" s="163" customFormat="1" x14ac:dyDescent="0.2">
      <c r="I746" s="165"/>
    </row>
    <row r="747" spans="9:9" s="163" customFormat="1" x14ac:dyDescent="0.2">
      <c r="I747" s="165"/>
    </row>
    <row r="748" spans="9:9" s="163" customFormat="1" x14ac:dyDescent="0.2">
      <c r="I748" s="165"/>
    </row>
    <row r="749" spans="9:9" s="163" customFormat="1" x14ac:dyDescent="0.2">
      <c r="I749" s="165"/>
    </row>
    <row r="750" spans="9:9" s="163" customFormat="1" x14ac:dyDescent="0.2">
      <c r="I750" s="165"/>
    </row>
    <row r="751" spans="9:9" s="163" customFormat="1" x14ac:dyDescent="0.2">
      <c r="I751" s="165"/>
    </row>
    <row r="752" spans="9:9" s="163" customFormat="1" x14ac:dyDescent="0.2">
      <c r="I752" s="165"/>
    </row>
    <row r="753" spans="9:9" s="163" customFormat="1" x14ac:dyDescent="0.2">
      <c r="I753" s="165"/>
    </row>
    <row r="754" spans="9:9" s="163" customFormat="1" x14ac:dyDescent="0.2">
      <c r="I754" s="165"/>
    </row>
    <row r="755" spans="9:9" s="163" customFormat="1" x14ac:dyDescent="0.2">
      <c r="I755" s="165"/>
    </row>
    <row r="756" spans="9:9" s="163" customFormat="1" x14ac:dyDescent="0.2">
      <c r="I756" s="165"/>
    </row>
    <row r="757" spans="9:9" s="163" customFormat="1" x14ac:dyDescent="0.2">
      <c r="I757" s="165"/>
    </row>
    <row r="758" spans="9:9" s="163" customFormat="1" x14ac:dyDescent="0.2">
      <c r="I758" s="165"/>
    </row>
    <row r="759" spans="9:9" s="163" customFormat="1" x14ac:dyDescent="0.2">
      <c r="I759" s="165"/>
    </row>
    <row r="760" spans="9:9" s="163" customFormat="1" x14ac:dyDescent="0.2">
      <c r="I760" s="165"/>
    </row>
    <row r="761" spans="9:9" s="163" customFormat="1" x14ac:dyDescent="0.2">
      <c r="I761" s="165"/>
    </row>
    <row r="762" spans="9:9" s="163" customFormat="1" x14ac:dyDescent="0.2">
      <c r="I762" s="165"/>
    </row>
    <row r="763" spans="9:9" s="163" customFormat="1" x14ac:dyDescent="0.2">
      <c r="I763" s="165"/>
    </row>
    <row r="764" spans="9:9" s="163" customFormat="1" x14ac:dyDescent="0.2">
      <c r="I764" s="165"/>
    </row>
    <row r="765" spans="9:9" s="163" customFormat="1" x14ac:dyDescent="0.2">
      <c r="I765" s="165"/>
    </row>
    <row r="766" spans="9:9" s="163" customFormat="1" x14ac:dyDescent="0.2">
      <c r="I766" s="165"/>
    </row>
    <row r="767" spans="9:9" s="163" customFormat="1" x14ac:dyDescent="0.2">
      <c r="I767" s="165"/>
    </row>
    <row r="768" spans="9:9" s="163" customFormat="1" x14ac:dyDescent="0.2">
      <c r="I768" s="165"/>
    </row>
    <row r="769" spans="9:9" s="163" customFormat="1" x14ac:dyDescent="0.2">
      <c r="I769" s="165"/>
    </row>
    <row r="770" spans="9:9" s="163" customFormat="1" x14ac:dyDescent="0.2">
      <c r="I770" s="165"/>
    </row>
    <row r="771" spans="9:9" s="163" customFormat="1" x14ac:dyDescent="0.2">
      <c r="I771" s="165"/>
    </row>
    <row r="772" spans="9:9" s="163" customFormat="1" x14ac:dyDescent="0.2">
      <c r="I772" s="165"/>
    </row>
    <row r="773" spans="9:9" s="163" customFormat="1" x14ac:dyDescent="0.2">
      <c r="I773" s="165"/>
    </row>
    <row r="774" spans="9:9" s="163" customFormat="1" x14ac:dyDescent="0.2">
      <c r="I774" s="165"/>
    </row>
    <row r="775" spans="9:9" s="163" customFormat="1" x14ac:dyDescent="0.2">
      <c r="I775" s="165"/>
    </row>
    <row r="776" spans="9:9" s="163" customFormat="1" x14ac:dyDescent="0.2">
      <c r="I776" s="165"/>
    </row>
    <row r="777" spans="9:9" s="163" customFormat="1" x14ac:dyDescent="0.2">
      <c r="I777" s="165"/>
    </row>
    <row r="778" spans="9:9" s="163" customFormat="1" x14ac:dyDescent="0.2">
      <c r="I778" s="165"/>
    </row>
    <row r="779" spans="9:9" s="163" customFormat="1" x14ac:dyDescent="0.2">
      <c r="I779" s="165"/>
    </row>
    <row r="780" spans="9:9" s="163" customFormat="1" x14ac:dyDescent="0.2">
      <c r="I780" s="165"/>
    </row>
    <row r="781" spans="9:9" s="163" customFormat="1" x14ac:dyDescent="0.2">
      <c r="I781" s="165"/>
    </row>
    <row r="782" spans="9:9" s="163" customFormat="1" x14ac:dyDescent="0.2">
      <c r="I782" s="165"/>
    </row>
    <row r="783" spans="9:9" s="163" customFormat="1" x14ac:dyDescent="0.2">
      <c r="I783" s="165"/>
    </row>
    <row r="784" spans="9:9" s="163" customFormat="1" x14ac:dyDescent="0.2">
      <c r="I784" s="165"/>
    </row>
    <row r="785" spans="9:9" s="163" customFormat="1" x14ac:dyDescent="0.2">
      <c r="I785" s="165"/>
    </row>
    <row r="786" spans="9:9" s="163" customFormat="1" x14ac:dyDescent="0.2">
      <c r="I786" s="165"/>
    </row>
    <row r="787" spans="9:9" s="163" customFormat="1" x14ac:dyDescent="0.2">
      <c r="I787" s="165"/>
    </row>
    <row r="788" spans="9:9" s="163" customFormat="1" x14ac:dyDescent="0.2">
      <c r="I788" s="165"/>
    </row>
    <row r="789" spans="9:9" s="163" customFormat="1" x14ac:dyDescent="0.2">
      <c r="I789" s="165"/>
    </row>
    <row r="790" spans="9:9" s="163" customFormat="1" x14ac:dyDescent="0.2">
      <c r="I790" s="165"/>
    </row>
    <row r="791" spans="9:9" s="163" customFormat="1" x14ac:dyDescent="0.2">
      <c r="I791" s="165"/>
    </row>
    <row r="792" spans="9:9" s="163" customFormat="1" x14ac:dyDescent="0.2">
      <c r="I792" s="165"/>
    </row>
    <row r="793" spans="9:9" s="163" customFormat="1" x14ac:dyDescent="0.2">
      <c r="I793" s="165"/>
    </row>
    <row r="794" spans="9:9" s="163" customFormat="1" x14ac:dyDescent="0.2">
      <c r="I794" s="165"/>
    </row>
    <row r="795" spans="9:9" s="163" customFormat="1" x14ac:dyDescent="0.2">
      <c r="I795" s="165"/>
    </row>
    <row r="796" spans="9:9" s="163" customFormat="1" x14ac:dyDescent="0.2">
      <c r="I796" s="165"/>
    </row>
    <row r="797" spans="9:9" s="163" customFormat="1" x14ac:dyDescent="0.2">
      <c r="I797" s="165"/>
    </row>
    <row r="798" spans="9:9" s="163" customFormat="1" x14ac:dyDescent="0.2">
      <c r="I798" s="165"/>
    </row>
    <row r="799" spans="9:9" s="163" customFormat="1" x14ac:dyDescent="0.2">
      <c r="I799" s="165"/>
    </row>
    <row r="800" spans="9:9" s="163" customFormat="1" x14ac:dyDescent="0.2">
      <c r="I800" s="165"/>
    </row>
    <row r="801" spans="9:9" s="163" customFormat="1" x14ac:dyDescent="0.2">
      <c r="I801" s="165"/>
    </row>
    <row r="802" spans="9:9" s="163" customFormat="1" x14ac:dyDescent="0.2">
      <c r="I802" s="165"/>
    </row>
    <row r="803" spans="9:9" s="163" customFormat="1" x14ac:dyDescent="0.2">
      <c r="I803" s="165"/>
    </row>
    <row r="804" spans="9:9" s="163" customFormat="1" x14ac:dyDescent="0.2">
      <c r="I804" s="165"/>
    </row>
    <row r="805" spans="9:9" s="163" customFormat="1" x14ac:dyDescent="0.2">
      <c r="I805" s="165"/>
    </row>
    <row r="806" spans="9:9" s="163" customFormat="1" x14ac:dyDescent="0.2">
      <c r="I806" s="165"/>
    </row>
    <row r="807" spans="9:9" s="163" customFormat="1" x14ac:dyDescent="0.2">
      <c r="I807" s="165"/>
    </row>
    <row r="808" spans="9:9" s="163" customFormat="1" x14ac:dyDescent="0.2">
      <c r="I808" s="165"/>
    </row>
    <row r="809" spans="9:9" s="163" customFormat="1" x14ac:dyDescent="0.2">
      <c r="I809" s="165"/>
    </row>
    <row r="810" spans="9:9" s="163" customFormat="1" x14ac:dyDescent="0.2">
      <c r="I810" s="165"/>
    </row>
    <row r="811" spans="9:9" s="163" customFormat="1" x14ac:dyDescent="0.2">
      <c r="I811" s="165"/>
    </row>
    <row r="812" spans="9:9" s="163" customFormat="1" x14ac:dyDescent="0.2">
      <c r="I812" s="165"/>
    </row>
    <row r="813" spans="9:9" s="163" customFormat="1" x14ac:dyDescent="0.2">
      <c r="I813" s="165"/>
    </row>
    <row r="814" spans="9:9" s="163" customFormat="1" x14ac:dyDescent="0.2">
      <c r="I814" s="165"/>
    </row>
    <row r="815" spans="9:9" s="163" customFormat="1" x14ac:dyDescent="0.2">
      <c r="I815" s="165"/>
    </row>
    <row r="816" spans="9:9" s="163" customFormat="1" x14ac:dyDescent="0.2">
      <c r="I816" s="165"/>
    </row>
    <row r="817" spans="9:9" s="163" customFormat="1" x14ac:dyDescent="0.2">
      <c r="I817" s="165"/>
    </row>
    <row r="818" spans="9:9" s="163" customFormat="1" x14ac:dyDescent="0.2">
      <c r="I818" s="165"/>
    </row>
    <row r="819" spans="9:9" s="163" customFormat="1" x14ac:dyDescent="0.2">
      <c r="I819" s="165"/>
    </row>
    <row r="820" spans="9:9" s="163" customFormat="1" x14ac:dyDescent="0.2">
      <c r="I820" s="165"/>
    </row>
    <row r="821" spans="9:9" s="163" customFormat="1" x14ac:dyDescent="0.2">
      <c r="I821" s="165"/>
    </row>
    <row r="822" spans="9:9" s="163" customFormat="1" x14ac:dyDescent="0.2">
      <c r="I822" s="165"/>
    </row>
    <row r="823" spans="9:9" s="163" customFormat="1" x14ac:dyDescent="0.2">
      <c r="I823" s="165"/>
    </row>
    <row r="824" spans="9:9" s="163" customFormat="1" x14ac:dyDescent="0.2">
      <c r="I824" s="165"/>
    </row>
    <row r="825" spans="9:9" s="163" customFormat="1" x14ac:dyDescent="0.2">
      <c r="I825" s="165"/>
    </row>
    <row r="826" spans="9:9" s="163" customFormat="1" x14ac:dyDescent="0.2">
      <c r="I826" s="165"/>
    </row>
    <row r="827" spans="9:9" s="163" customFormat="1" x14ac:dyDescent="0.2">
      <c r="I827" s="165"/>
    </row>
    <row r="828" spans="9:9" s="163" customFormat="1" x14ac:dyDescent="0.2">
      <c r="I828" s="165"/>
    </row>
    <row r="829" spans="9:9" s="163" customFormat="1" x14ac:dyDescent="0.2">
      <c r="I829" s="165"/>
    </row>
    <row r="830" spans="9:9" s="163" customFormat="1" x14ac:dyDescent="0.2">
      <c r="I830" s="165"/>
    </row>
    <row r="831" spans="9:9" s="163" customFormat="1" x14ac:dyDescent="0.2">
      <c r="I831" s="165"/>
    </row>
    <row r="832" spans="9:9" s="163" customFormat="1" x14ac:dyDescent="0.2">
      <c r="I832" s="165"/>
    </row>
    <row r="833" spans="9:9" s="163" customFormat="1" x14ac:dyDescent="0.2">
      <c r="I833" s="165"/>
    </row>
    <row r="834" spans="9:9" s="163" customFormat="1" x14ac:dyDescent="0.2">
      <c r="I834" s="165"/>
    </row>
    <row r="835" spans="9:9" s="163" customFormat="1" x14ac:dyDescent="0.2">
      <c r="I835" s="165"/>
    </row>
    <row r="836" spans="9:9" s="163" customFormat="1" x14ac:dyDescent="0.2">
      <c r="I836" s="165"/>
    </row>
    <row r="837" spans="9:9" s="163" customFormat="1" x14ac:dyDescent="0.2">
      <c r="I837" s="165"/>
    </row>
    <row r="838" spans="9:9" s="163" customFormat="1" x14ac:dyDescent="0.2">
      <c r="I838" s="165"/>
    </row>
    <row r="839" spans="9:9" s="163" customFormat="1" x14ac:dyDescent="0.2">
      <c r="I839" s="165"/>
    </row>
    <row r="840" spans="9:9" s="163" customFormat="1" x14ac:dyDescent="0.2">
      <c r="I840" s="165"/>
    </row>
    <row r="841" spans="9:9" s="163" customFormat="1" x14ac:dyDescent="0.2">
      <c r="I841" s="165"/>
    </row>
    <row r="842" spans="9:9" s="163" customFormat="1" x14ac:dyDescent="0.2">
      <c r="I842" s="165"/>
    </row>
    <row r="843" spans="9:9" s="163" customFormat="1" x14ac:dyDescent="0.2">
      <c r="I843" s="165"/>
    </row>
    <row r="844" spans="9:9" s="163" customFormat="1" x14ac:dyDescent="0.2">
      <c r="I844" s="165"/>
    </row>
    <row r="845" spans="9:9" s="163" customFormat="1" x14ac:dyDescent="0.2">
      <c r="I845" s="165"/>
    </row>
    <row r="846" spans="9:9" s="163" customFormat="1" x14ac:dyDescent="0.2">
      <c r="I846" s="165"/>
    </row>
    <row r="847" spans="9:9" s="163" customFormat="1" x14ac:dyDescent="0.2">
      <c r="I847" s="165"/>
    </row>
    <row r="848" spans="9:9" s="163" customFormat="1" x14ac:dyDescent="0.2">
      <c r="I848" s="165"/>
    </row>
    <row r="849" spans="9:9" s="163" customFormat="1" x14ac:dyDescent="0.2">
      <c r="I849" s="165"/>
    </row>
    <row r="850" spans="9:9" s="163" customFormat="1" x14ac:dyDescent="0.2">
      <c r="I850" s="165"/>
    </row>
    <row r="851" spans="9:9" s="163" customFormat="1" x14ac:dyDescent="0.2">
      <c r="I851" s="165"/>
    </row>
    <row r="852" spans="9:9" s="163" customFormat="1" x14ac:dyDescent="0.2">
      <c r="I852" s="165"/>
    </row>
    <row r="853" spans="9:9" s="163" customFormat="1" x14ac:dyDescent="0.2">
      <c r="I853" s="165"/>
    </row>
    <row r="854" spans="9:9" s="163" customFormat="1" x14ac:dyDescent="0.2">
      <c r="I854" s="165"/>
    </row>
    <row r="855" spans="9:9" s="163" customFormat="1" x14ac:dyDescent="0.2">
      <c r="I855" s="165"/>
    </row>
    <row r="856" spans="9:9" s="163" customFormat="1" x14ac:dyDescent="0.2">
      <c r="I856" s="165"/>
    </row>
    <row r="857" spans="9:9" s="163" customFormat="1" x14ac:dyDescent="0.2">
      <c r="I857" s="165"/>
    </row>
    <row r="858" spans="9:9" s="163" customFormat="1" x14ac:dyDescent="0.2">
      <c r="I858" s="165"/>
    </row>
    <row r="859" spans="9:9" s="163" customFormat="1" x14ac:dyDescent="0.2">
      <c r="I859" s="165"/>
    </row>
    <row r="860" spans="9:9" s="163" customFormat="1" x14ac:dyDescent="0.2">
      <c r="I860" s="165"/>
    </row>
    <row r="861" spans="9:9" s="163" customFormat="1" x14ac:dyDescent="0.2">
      <c r="I861" s="165"/>
    </row>
    <row r="862" spans="9:9" s="163" customFormat="1" x14ac:dyDescent="0.2">
      <c r="I862" s="165"/>
    </row>
    <row r="863" spans="9:9" s="163" customFormat="1" x14ac:dyDescent="0.2">
      <c r="I863" s="165"/>
    </row>
    <row r="864" spans="9:9" s="163" customFormat="1" x14ac:dyDescent="0.2">
      <c r="I864" s="165"/>
    </row>
    <row r="865" spans="9:9" s="163" customFormat="1" x14ac:dyDescent="0.2">
      <c r="I865" s="165"/>
    </row>
    <row r="866" spans="9:9" s="163" customFormat="1" x14ac:dyDescent="0.2">
      <c r="I866" s="165"/>
    </row>
    <row r="867" spans="9:9" s="163" customFormat="1" x14ac:dyDescent="0.2">
      <c r="I867" s="165"/>
    </row>
    <row r="868" spans="9:9" s="163" customFormat="1" x14ac:dyDescent="0.2">
      <c r="I868" s="165"/>
    </row>
    <row r="869" spans="9:9" s="163" customFormat="1" x14ac:dyDescent="0.2">
      <c r="I869" s="165"/>
    </row>
    <row r="870" spans="9:9" s="163" customFormat="1" x14ac:dyDescent="0.2">
      <c r="I870" s="165"/>
    </row>
    <row r="871" spans="9:9" s="163" customFormat="1" x14ac:dyDescent="0.2">
      <c r="I871" s="165"/>
    </row>
    <row r="872" spans="9:9" s="163" customFormat="1" x14ac:dyDescent="0.2">
      <c r="I872" s="165"/>
    </row>
    <row r="873" spans="9:9" s="163" customFormat="1" x14ac:dyDescent="0.2">
      <c r="I873" s="165"/>
    </row>
    <row r="874" spans="9:9" s="163" customFormat="1" x14ac:dyDescent="0.2">
      <c r="I874" s="165"/>
    </row>
    <row r="875" spans="9:9" s="163" customFormat="1" x14ac:dyDescent="0.2">
      <c r="I875" s="165"/>
    </row>
    <row r="876" spans="9:9" s="163" customFormat="1" x14ac:dyDescent="0.2">
      <c r="I876" s="165"/>
    </row>
    <row r="877" spans="9:9" s="163" customFormat="1" x14ac:dyDescent="0.2">
      <c r="I877" s="165"/>
    </row>
    <row r="878" spans="9:9" s="163" customFormat="1" x14ac:dyDescent="0.2">
      <c r="I878" s="165"/>
    </row>
    <row r="879" spans="9:9" s="163" customFormat="1" x14ac:dyDescent="0.2">
      <c r="I879" s="165"/>
    </row>
    <row r="880" spans="9:9" s="163" customFormat="1" x14ac:dyDescent="0.2">
      <c r="I880" s="165"/>
    </row>
    <row r="881" spans="9:9" s="163" customFormat="1" x14ac:dyDescent="0.2">
      <c r="I881" s="165"/>
    </row>
    <row r="882" spans="9:9" s="163" customFormat="1" x14ac:dyDescent="0.2">
      <c r="I882" s="165"/>
    </row>
    <row r="883" spans="9:9" s="163" customFormat="1" x14ac:dyDescent="0.2">
      <c r="I883" s="165"/>
    </row>
    <row r="884" spans="9:9" s="163" customFormat="1" x14ac:dyDescent="0.2">
      <c r="I884" s="165"/>
    </row>
    <row r="885" spans="9:9" s="163" customFormat="1" x14ac:dyDescent="0.2">
      <c r="I885" s="165"/>
    </row>
    <row r="886" spans="9:9" s="163" customFormat="1" x14ac:dyDescent="0.2">
      <c r="I886" s="165"/>
    </row>
    <row r="887" spans="9:9" s="163" customFormat="1" x14ac:dyDescent="0.2">
      <c r="I887" s="165"/>
    </row>
    <row r="888" spans="9:9" s="163" customFormat="1" x14ac:dyDescent="0.2">
      <c r="I888" s="165"/>
    </row>
    <row r="889" spans="9:9" s="163" customFormat="1" x14ac:dyDescent="0.2">
      <c r="I889" s="165"/>
    </row>
    <row r="890" spans="9:9" s="163" customFormat="1" x14ac:dyDescent="0.2">
      <c r="I890" s="165"/>
    </row>
    <row r="891" spans="9:9" s="163" customFormat="1" x14ac:dyDescent="0.2">
      <c r="I891" s="165"/>
    </row>
    <row r="892" spans="9:9" s="163" customFormat="1" x14ac:dyDescent="0.2">
      <c r="I892" s="165"/>
    </row>
    <row r="893" spans="9:9" s="163" customFormat="1" x14ac:dyDescent="0.2">
      <c r="I893" s="165"/>
    </row>
    <row r="894" spans="9:9" s="163" customFormat="1" x14ac:dyDescent="0.2">
      <c r="I894" s="165"/>
    </row>
    <row r="895" spans="9:9" s="163" customFormat="1" x14ac:dyDescent="0.2">
      <c r="I895" s="165"/>
    </row>
    <row r="896" spans="9:9" s="163" customFormat="1" x14ac:dyDescent="0.2">
      <c r="I896" s="165"/>
    </row>
    <row r="897" spans="9:9" s="163" customFormat="1" x14ac:dyDescent="0.2">
      <c r="I897" s="165"/>
    </row>
    <row r="898" spans="9:9" s="163" customFormat="1" x14ac:dyDescent="0.2">
      <c r="I898" s="165"/>
    </row>
    <row r="899" spans="9:9" s="163" customFormat="1" x14ac:dyDescent="0.2">
      <c r="I899" s="165"/>
    </row>
    <row r="900" spans="9:9" s="163" customFormat="1" x14ac:dyDescent="0.2">
      <c r="I900" s="165"/>
    </row>
    <row r="901" spans="9:9" s="163" customFormat="1" x14ac:dyDescent="0.2">
      <c r="I901" s="165"/>
    </row>
    <row r="902" spans="9:9" s="163" customFormat="1" x14ac:dyDescent="0.2">
      <c r="I902" s="165"/>
    </row>
    <row r="903" spans="9:9" s="163" customFormat="1" x14ac:dyDescent="0.2">
      <c r="I903" s="165"/>
    </row>
    <row r="904" spans="9:9" s="163" customFormat="1" x14ac:dyDescent="0.2">
      <c r="I904" s="165"/>
    </row>
    <row r="905" spans="9:9" s="163" customFormat="1" x14ac:dyDescent="0.2">
      <c r="I905" s="165"/>
    </row>
    <row r="906" spans="9:9" s="163" customFormat="1" x14ac:dyDescent="0.2">
      <c r="I906" s="165"/>
    </row>
    <row r="907" spans="9:9" s="163" customFormat="1" x14ac:dyDescent="0.2">
      <c r="I907" s="165"/>
    </row>
    <row r="908" spans="9:9" s="163" customFormat="1" x14ac:dyDescent="0.2">
      <c r="I908" s="165"/>
    </row>
    <row r="909" spans="9:9" s="163" customFormat="1" x14ac:dyDescent="0.2">
      <c r="I909" s="165"/>
    </row>
    <row r="910" spans="9:9" s="163" customFormat="1" x14ac:dyDescent="0.2">
      <c r="I910" s="165"/>
    </row>
    <row r="911" spans="9:9" s="163" customFormat="1" x14ac:dyDescent="0.2">
      <c r="I911" s="165"/>
    </row>
    <row r="912" spans="9:9" s="163" customFormat="1" x14ac:dyDescent="0.2">
      <c r="I912" s="165"/>
    </row>
    <row r="913" spans="9:49" s="163" customFormat="1" x14ac:dyDescent="0.2">
      <c r="I913" s="165"/>
    </row>
    <row r="914" spans="9:49" s="163" customFormat="1" x14ac:dyDescent="0.2">
      <c r="I914" s="165"/>
      <c r="AU914" s="164"/>
      <c r="AV914" s="164"/>
      <c r="AW914" s="164"/>
    </row>
    <row r="915" spans="9:49" s="164" customFormat="1" x14ac:dyDescent="0.2">
      <c r="I915" s="165"/>
      <c r="O915" s="163"/>
      <c r="P915" s="163"/>
      <c r="Q915" s="163"/>
      <c r="R915" s="163"/>
      <c r="S915" s="163"/>
      <c r="T915" s="163"/>
      <c r="U915" s="163"/>
      <c r="V915" s="163"/>
      <c r="W915" s="163"/>
      <c r="X915" s="163"/>
      <c r="Y915" s="163"/>
      <c r="Z915" s="163"/>
      <c r="AA915" s="163"/>
      <c r="AB915" s="163"/>
      <c r="AC915" s="163"/>
      <c r="AD915" s="163"/>
      <c r="AE915" s="163"/>
      <c r="AF915" s="163"/>
      <c r="AG915" s="163"/>
      <c r="AH915" s="163"/>
      <c r="AI915" s="163"/>
      <c r="AJ915" s="163"/>
      <c r="AK915" s="163"/>
      <c r="AL915" s="163"/>
      <c r="AM915" s="163"/>
      <c r="AN915" s="163"/>
      <c r="AO915" s="163"/>
      <c r="AP915" s="163"/>
      <c r="AQ915" s="163"/>
      <c r="AR915" s="163"/>
      <c r="AS915" s="163"/>
      <c r="AT915" s="163"/>
    </row>
    <row r="916" spans="9:49" s="164" customFormat="1" x14ac:dyDescent="0.2">
      <c r="I916" s="165"/>
      <c r="O916" s="163"/>
      <c r="P916" s="163"/>
      <c r="Q916" s="163"/>
      <c r="R916" s="163"/>
      <c r="S916" s="163"/>
      <c r="T916" s="163"/>
      <c r="U916" s="163"/>
      <c r="V916" s="163"/>
      <c r="W916" s="163"/>
      <c r="X916" s="163"/>
      <c r="Y916" s="163"/>
      <c r="Z916" s="163"/>
      <c r="AA916" s="163"/>
      <c r="AB916" s="163"/>
      <c r="AC916" s="163"/>
      <c r="AD916" s="163"/>
      <c r="AE916" s="163"/>
      <c r="AF916" s="163"/>
      <c r="AG916" s="163"/>
      <c r="AH916" s="163"/>
      <c r="AI916" s="163"/>
      <c r="AJ916" s="163"/>
      <c r="AK916" s="163"/>
      <c r="AL916" s="163"/>
      <c r="AM916" s="163"/>
      <c r="AN916" s="163"/>
      <c r="AO916" s="163"/>
      <c r="AP916" s="163"/>
      <c r="AQ916" s="163"/>
      <c r="AR916" s="163"/>
      <c r="AS916" s="163"/>
      <c r="AT916" s="163"/>
    </row>
    <row r="917" spans="9:49" s="164" customFormat="1" x14ac:dyDescent="0.2">
      <c r="I917" s="165"/>
      <c r="O917" s="163"/>
      <c r="P917" s="163"/>
      <c r="Q917" s="163"/>
      <c r="R917" s="163"/>
      <c r="S917" s="163"/>
      <c r="T917" s="163"/>
      <c r="U917" s="163"/>
      <c r="V917" s="163"/>
      <c r="W917" s="163"/>
      <c r="X917" s="163"/>
      <c r="Y917" s="163"/>
      <c r="Z917" s="163"/>
      <c r="AA917" s="163"/>
      <c r="AB917" s="163"/>
      <c r="AC917" s="163"/>
      <c r="AD917" s="163"/>
      <c r="AE917" s="163"/>
      <c r="AF917" s="163"/>
      <c r="AG917" s="163"/>
      <c r="AH917" s="163"/>
      <c r="AI917" s="163"/>
      <c r="AJ917" s="163"/>
      <c r="AK917" s="163"/>
      <c r="AL917" s="163"/>
      <c r="AM917" s="163"/>
      <c r="AN917" s="163"/>
      <c r="AO917" s="163"/>
      <c r="AP917" s="163"/>
      <c r="AQ917" s="163"/>
      <c r="AR917" s="163"/>
      <c r="AS917" s="163"/>
      <c r="AT917" s="163"/>
    </row>
    <row r="918" spans="9:49" s="164" customFormat="1" x14ac:dyDescent="0.2">
      <c r="I918" s="165"/>
      <c r="O918" s="163"/>
      <c r="P918" s="163"/>
      <c r="Q918" s="163"/>
      <c r="R918" s="163"/>
      <c r="S918" s="163"/>
      <c r="T918" s="163"/>
      <c r="U918" s="163"/>
      <c r="V918" s="163"/>
      <c r="W918" s="163"/>
      <c r="X918" s="163"/>
      <c r="Y918" s="163"/>
      <c r="Z918" s="163"/>
      <c r="AA918" s="163"/>
      <c r="AB918" s="163"/>
      <c r="AC918" s="163"/>
      <c r="AD918" s="163"/>
      <c r="AE918" s="163"/>
      <c r="AF918" s="163"/>
      <c r="AG918" s="163"/>
      <c r="AH918" s="163"/>
      <c r="AI918" s="163"/>
      <c r="AJ918" s="163"/>
      <c r="AK918" s="163"/>
      <c r="AL918" s="163"/>
      <c r="AM918" s="163"/>
      <c r="AN918" s="163"/>
      <c r="AO918" s="163"/>
      <c r="AP918" s="163"/>
      <c r="AQ918" s="163"/>
      <c r="AR918" s="163"/>
      <c r="AS918" s="163"/>
      <c r="AT918" s="163"/>
    </row>
    <row r="919" spans="9:49" s="164" customFormat="1" x14ac:dyDescent="0.2">
      <c r="I919" s="165"/>
      <c r="O919" s="163"/>
      <c r="P919" s="163"/>
      <c r="Q919" s="163"/>
      <c r="R919" s="163"/>
      <c r="S919" s="163"/>
      <c r="T919" s="163"/>
      <c r="U919" s="163"/>
      <c r="V919" s="163"/>
      <c r="W919" s="163"/>
      <c r="X919" s="163"/>
      <c r="Y919" s="163"/>
      <c r="Z919" s="163"/>
      <c r="AA919" s="163"/>
      <c r="AB919" s="163"/>
      <c r="AC919" s="163"/>
      <c r="AD919" s="163"/>
      <c r="AE919" s="163"/>
      <c r="AF919" s="163"/>
      <c r="AG919" s="163"/>
      <c r="AH919" s="163"/>
      <c r="AI919" s="163"/>
      <c r="AJ919" s="163"/>
      <c r="AK919" s="163"/>
      <c r="AL919" s="163"/>
      <c r="AM919" s="163"/>
      <c r="AN919" s="163"/>
      <c r="AO919" s="163"/>
      <c r="AP919" s="163"/>
      <c r="AQ919" s="163"/>
      <c r="AR919" s="163"/>
      <c r="AS919" s="163"/>
      <c r="AT919" s="163"/>
    </row>
    <row r="920" spans="9:49" s="164" customFormat="1" x14ac:dyDescent="0.2">
      <c r="I920" s="165"/>
      <c r="O920" s="163"/>
      <c r="P920" s="163"/>
      <c r="Q920" s="163"/>
      <c r="R920" s="163"/>
      <c r="S920" s="163"/>
      <c r="T920" s="163"/>
      <c r="U920" s="163"/>
      <c r="V920" s="163"/>
      <c r="W920" s="163"/>
      <c r="X920" s="163"/>
      <c r="Y920" s="163"/>
      <c r="Z920" s="163"/>
      <c r="AA920" s="163"/>
      <c r="AB920" s="163"/>
      <c r="AC920" s="163"/>
      <c r="AD920" s="163"/>
      <c r="AE920" s="163"/>
      <c r="AF920" s="163"/>
      <c r="AG920" s="163"/>
      <c r="AH920" s="163"/>
      <c r="AI920" s="163"/>
      <c r="AJ920" s="163"/>
      <c r="AK920" s="163"/>
      <c r="AL920" s="163"/>
      <c r="AM920" s="163"/>
      <c r="AN920" s="163"/>
      <c r="AO920" s="163"/>
      <c r="AP920" s="163"/>
      <c r="AQ920" s="163"/>
      <c r="AR920" s="163"/>
      <c r="AS920" s="163"/>
      <c r="AT920" s="163"/>
    </row>
    <row r="921" spans="9:49" s="164" customFormat="1" x14ac:dyDescent="0.2">
      <c r="I921" s="165"/>
      <c r="O921" s="163"/>
      <c r="P921" s="163"/>
      <c r="Q921" s="163"/>
      <c r="R921" s="163"/>
      <c r="S921" s="163"/>
      <c r="T921" s="163"/>
      <c r="U921" s="163"/>
      <c r="V921" s="163"/>
      <c r="W921" s="163"/>
      <c r="X921" s="163"/>
      <c r="Y921" s="163"/>
      <c r="Z921" s="163"/>
      <c r="AA921" s="163"/>
      <c r="AB921" s="163"/>
      <c r="AC921" s="163"/>
      <c r="AD921" s="163"/>
      <c r="AE921" s="163"/>
      <c r="AF921" s="163"/>
      <c r="AG921" s="163"/>
      <c r="AH921" s="163"/>
      <c r="AI921" s="163"/>
      <c r="AJ921" s="163"/>
      <c r="AK921" s="163"/>
      <c r="AL921" s="163"/>
      <c r="AM921" s="163"/>
      <c r="AN921" s="163"/>
      <c r="AO921" s="163"/>
      <c r="AP921" s="163"/>
      <c r="AQ921" s="163"/>
      <c r="AR921" s="163"/>
      <c r="AS921" s="163"/>
      <c r="AT921" s="163"/>
    </row>
    <row r="922" spans="9:49" s="164" customFormat="1" x14ac:dyDescent="0.2">
      <c r="I922" s="165"/>
      <c r="O922" s="163"/>
      <c r="P922" s="163"/>
      <c r="Q922" s="163"/>
      <c r="R922" s="163"/>
      <c r="S922" s="163"/>
      <c r="T922" s="163"/>
      <c r="U922" s="163"/>
      <c r="V922" s="163"/>
      <c r="W922" s="163"/>
      <c r="X922" s="163"/>
      <c r="Y922" s="163"/>
      <c r="Z922" s="163"/>
      <c r="AA922" s="163"/>
      <c r="AB922" s="163"/>
      <c r="AC922" s="163"/>
      <c r="AD922" s="163"/>
      <c r="AE922" s="163"/>
      <c r="AF922" s="163"/>
      <c r="AG922" s="163"/>
      <c r="AH922" s="163"/>
      <c r="AI922" s="163"/>
      <c r="AJ922" s="163"/>
      <c r="AK922" s="163"/>
      <c r="AL922" s="163"/>
      <c r="AM922" s="163"/>
      <c r="AN922" s="163"/>
      <c r="AO922" s="163"/>
      <c r="AP922" s="163"/>
      <c r="AQ922" s="163"/>
      <c r="AR922" s="163"/>
      <c r="AS922" s="163"/>
      <c r="AT922" s="163"/>
    </row>
    <row r="923" spans="9:49" s="164" customFormat="1" x14ac:dyDescent="0.2">
      <c r="I923" s="165"/>
      <c r="O923" s="163"/>
      <c r="P923" s="163"/>
      <c r="Q923" s="163"/>
      <c r="R923" s="163"/>
      <c r="S923" s="163"/>
      <c r="T923" s="163"/>
      <c r="U923" s="163"/>
      <c r="V923" s="163"/>
      <c r="W923" s="163"/>
      <c r="X923" s="163"/>
      <c r="Y923" s="163"/>
      <c r="Z923" s="163"/>
      <c r="AA923" s="163"/>
      <c r="AB923" s="163"/>
      <c r="AC923" s="163"/>
      <c r="AD923" s="163"/>
      <c r="AE923" s="163"/>
      <c r="AF923" s="163"/>
      <c r="AG923" s="163"/>
      <c r="AH923" s="163"/>
      <c r="AI923" s="163"/>
      <c r="AJ923" s="163"/>
      <c r="AK923" s="163"/>
      <c r="AL923" s="163"/>
      <c r="AM923" s="163"/>
      <c r="AN923" s="163"/>
      <c r="AO923" s="163"/>
      <c r="AP923" s="163"/>
      <c r="AQ923" s="163"/>
      <c r="AR923" s="163"/>
      <c r="AS923" s="163"/>
      <c r="AT923" s="163"/>
    </row>
    <row r="924" spans="9:49" s="164" customFormat="1" x14ac:dyDescent="0.2">
      <c r="I924" s="165"/>
      <c r="O924" s="163"/>
      <c r="P924" s="163"/>
      <c r="Q924" s="163"/>
      <c r="R924" s="163"/>
      <c r="S924" s="163"/>
      <c r="T924" s="163"/>
      <c r="U924" s="163"/>
      <c r="V924" s="163"/>
      <c r="W924" s="163"/>
      <c r="X924" s="163"/>
      <c r="Y924" s="163"/>
      <c r="Z924" s="163"/>
      <c r="AA924" s="163"/>
      <c r="AB924" s="163"/>
      <c r="AC924" s="163"/>
      <c r="AD924" s="163"/>
      <c r="AE924" s="163"/>
      <c r="AF924" s="163"/>
      <c r="AG924" s="163"/>
      <c r="AH924" s="163"/>
      <c r="AI924" s="163"/>
      <c r="AJ924" s="163"/>
      <c r="AK924" s="163"/>
      <c r="AL924" s="163"/>
      <c r="AM924" s="163"/>
      <c r="AN924" s="163"/>
      <c r="AO924" s="163"/>
      <c r="AP924" s="163"/>
      <c r="AQ924" s="163"/>
      <c r="AR924" s="163"/>
      <c r="AS924" s="163"/>
      <c r="AT924" s="163"/>
    </row>
    <row r="925" spans="9:49" s="164" customFormat="1" x14ac:dyDescent="0.2">
      <c r="I925" s="165"/>
      <c r="O925" s="163"/>
      <c r="P925" s="163"/>
      <c r="Q925" s="163"/>
      <c r="R925" s="163"/>
      <c r="S925" s="163"/>
      <c r="T925" s="163"/>
      <c r="U925" s="163"/>
      <c r="V925" s="163"/>
      <c r="W925" s="163"/>
      <c r="X925" s="163"/>
      <c r="Y925" s="163"/>
      <c r="Z925" s="163"/>
      <c r="AA925" s="163"/>
      <c r="AB925" s="163"/>
      <c r="AC925" s="163"/>
      <c r="AD925" s="163"/>
      <c r="AE925" s="163"/>
      <c r="AF925" s="163"/>
      <c r="AG925" s="163"/>
      <c r="AH925" s="163"/>
      <c r="AI925" s="163"/>
      <c r="AJ925" s="163"/>
      <c r="AK925" s="163"/>
      <c r="AL925" s="163"/>
      <c r="AM925" s="163"/>
      <c r="AN925" s="163"/>
      <c r="AO925" s="163"/>
      <c r="AP925" s="163"/>
      <c r="AQ925" s="163"/>
      <c r="AR925" s="163"/>
      <c r="AS925" s="163"/>
      <c r="AT925" s="163"/>
    </row>
    <row r="926" spans="9:49" s="164" customFormat="1" x14ac:dyDescent="0.2">
      <c r="I926" s="165"/>
      <c r="O926" s="163"/>
      <c r="P926" s="163"/>
      <c r="Q926" s="163"/>
      <c r="R926" s="163"/>
      <c r="S926" s="163"/>
      <c r="T926" s="163"/>
      <c r="U926" s="163"/>
      <c r="V926" s="163"/>
      <c r="W926" s="163"/>
      <c r="X926" s="163"/>
      <c r="Y926" s="163"/>
      <c r="Z926" s="163"/>
      <c r="AA926" s="163"/>
      <c r="AB926" s="163"/>
      <c r="AC926" s="163"/>
      <c r="AD926" s="163"/>
      <c r="AE926" s="163"/>
      <c r="AF926" s="163"/>
      <c r="AG926" s="163"/>
      <c r="AH926" s="163"/>
      <c r="AI926" s="163"/>
      <c r="AJ926" s="163"/>
      <c r="AK926" s="163"/>
      <c r="AL926" s="163"/>
      <c r="AM926" s="163"/>
      <c r="AN926" s="163"/>
      <c r="AO926" s="163"/>
      <c r="AP926" s="163"/>
      <c r="AQ926" s="163"/>
      <c r="AR926" s="163"/>
      <c r="AS926" s="163"/>
      <c r="AT926" s="163"/>
    </row>
    <row r="927" spans="9:49" s="164" customFormat="1" x14ac:dyDescent="0.2">
      <c r="I927" s="165"/>
      <c r="O927" s="163"/>
      <c r="P927" s="163"/>
      <c r="Q927" s="163"/>
      <c r="R927" s="163"/>
      <c r="S927" s="163"/>
      <c r="T927" s="163"/>
      <c r="U927" s="163"/>
      <c r="V927" s="163"/>
      <c r="W927" s="163"/>
      <c r="X927" s="163"/>
      <c r="Y927" s="163"/>
      <c r="Z927" s="163"/>
      <c r="AA927" s="163"/>
      <c r="AB927" s="163"/>
      <c r="AC927" s="163"/>
      <c r="AD927" s="163"/>
      <c r="AE927" s="163"/>
      <c r="AF927" s="163"/>
      <c r="AG927" s="163"/>
      <c r="AH927" s="163"/>
      <c r="AI927" s="163"/>
      <c r="AJ927" s="163"/>
      <c r="AK927" s="163"/>
      <c r="AL927" s="163"/>
      <c r="AM927" s="163"/>
      <c r="AN927" s="163"/>
      <c r="AO927" s="163"/>
      <c r="AP927" s="163"/>
      <c r="AQ927" s="163"/>
      <c r="AR927" s="163"/>
      <c r="AS927" s="163"/>
      <c r="AT927" s="163"/>
    </row>
    <row r="928" spans="9:49" s="164" customFormat="1" x14ac:dyDescent="0.2">
      <c r="I928" s="165"/>
      <c r="O928" s="163"/>
      <c r="P928" s="163"/>
      <c r="Q928" s="163"/>
      <c r="R928" s="163"/>
      <c r="S928" s="163"/>
      <c r="T928" s="163"/>
      <c r="U928" s="163"/>
      <c r="V928" s="163"/>
      <c r="W928" s="163"/>
      <c r="X928" s="163"/>
      <c r="Y928" s="163"/>
      <c r="Z928" s="163"/>
      <c r="AA928" s="163"/>
      <c r="AB928" s="163"/>
      <c r="AC928" s="163"/>
      <c r="AD928" s="163"/>
      <c r="AE928" s="163"/>
      <c r="AF928" s="163"/>
      <c r="AG928" s="163"/>
      <c r="AH928" s="163"/>
      <c r="AI928" s="163"/>
      <c r="AJ928" s="163"/>
      <c r="AK928" s="163"/>
      <c r="AL928" s="163"/>
      <c r="AM928" s="163"/>
      <c r="AN928" s="163"/>
      <c r="AO928" s="163"/>
      <c r="AP928" s="163"/>
      <c r="AQ928" s="163"/>
      <c r="AR928" s="163"/>
      <c r="AS928" s="163"/>
      <c r="AT928" s="163"/>
    </row>
    <row r="929" spans="9:46" s="164" customFormat="1" x14ac:dyDescent="0.2">
      <c r="I929" s="165"/>
      <c r="O929" s="163"/>
      <c r="P929" s="163"/>
      <c r="Q929" s="163"/>
      <c r="R929" s="163"/>
      <c r="S929" s="163"/>
      <c r="T929" s="163"/>
      <c r="U929" s="163"/>
      <c r="V929" s="163"/>
      <c r="W929" s="163"/>
      <c r="X929" s="163"/>
      <c r="Y929" s="163"/>
      <c r="Z929" s="163"/>
      <c r="AA929" s="163"/>
      <c r="AB929" s="163"/>
      <c r="AC929" s="163"/>
      <c r="AD929" s="163"/>
      <c r="AE929" s="163"/>
      <c r="AF929" s="163"/>
      <c r="AG929" s="163"/>
      <c r="AH929" s="163"/>
      <c r="AI929" s="163"/>
      <c r="AJ929" s="163"/>
      <c r="AK929" s="163"/>
      <c r="AL929" s="163"/>
      <c r="AM929" s="163"/>
      <c r="AN929" s="163"/>
      <c r="AO929" s="163"/>
      <c r="AP929" s="163"/>
      <c r="AQ929" s="163"/>
      <c r="AR929" s="163"/>
      <c r="AS929" s="163"/>
      <c r="AT929" s="163"/>
    </row>
    <row r="930" spans="9:46" s="164" customFormat="1" x14ac:dyDescent="0.2">
      <c r="I930" s="165"/>
      <c r="O930" s="163"/>
      <c r="P930" s="163"/>
      <c r="Q930" s="163"/>
      <c r="R930" s="163"/>
      <c r="S930" s="163"/>
      <c r="T930" s="163"/>
      <c r="U930" s="163"/>
      <c r="V930" s="163"/>
      <c r="W930" s="163"/>
      <c r="X930" s="163"/>
      <c r="Y930" s="163"/>
      <c r="Z930" s="163"/>
      <c r="AA930" s="163"/>
      <c r="AB930" s="163"/>
      <c r="AC930" s="163"/>
      <c r="AD930" s="163"/>
      <c r="AE930" s="163"/>
      <c r="AF930" s="163"/>
      <c r="AG930" s="163"/>
      <c r="AH930" s="163"/>
      <c r="AI930" s="163"/>
      <c r="AJ930" s="163"/>
      <c r="AK930" s="163"/>
      <c r="AL930" s="163"/>
      <c r="AM930" s="163"/>
      <c r="AN930" s="163"/>
      <c r="AO930" s="163"/>
      <c r="AP930" s="163"/>
      <c r="AQ930" s="163"/>
      <c r="AR930" s="163"/>
      <c r="AS930" s="163"/>
      <c r="AT930" s="163"/>
    </row>
    <row r="931" spans="9:46" s="164" customFormat="1" x14ac:dyDescent="0.2">
      <c r="I931" s="165"/>
      <c r="O931" s="163"/>
      <c r="P931" s="163"/>
      <c r="Q931" s="163"/>
      <c r="R931" s="163"/>
      <c r="S931" s="163"/>
      <c r="T931" s="163"/>
      <c r="U931" s="163"/>
      <c r="V931" s="163"/>
      <c r="W931" s="163"/>
      <c r="X931" s="163"/>
      <c r="Y931" s="163"/>
      <c r="Z931" s="163"/>
      <c r="AA931" s="163"/>
      <c r="AB931" s="163"/>
      <c r="AC931" s="163"/>
      <c r="AD931" s="163"/>
      <c r="AE931" s="163"/>
      <c r="AF931" s="163"/>
      <c r="AG931" s="163"/>
      <c r="AH931" s="163"/>
      <c r="AI931" s="163"/>
      <c r="AJ931" s="163"/>
      <c r="AK931" s="163"/>
      <c r="AL931" s="163"/>
      <c r="AM931" s="163"/>
      <c r="AN931" s="163"/>
      <c r="AO931" s="163"/>
      <c r="AP931" s="163"/>
      <c r="AQ931" s="163"/>
      <c r="AR931" s="163"/>
      <c r="AS931" s="163"/>
      <c r="AT931" s="163"/>
    </row>
    <row r="932" spans="9:46" s="164" customFormat="1" x14ac:dyDescent="0.2">
      <c r="I932" s="165"/>
      <c r="O932" s="163"/>
      <c r="P932" s="163"/>
      <c r="Q932" s="163"/>
      <c r="R932" s="163"/>
      <c r="S932" s="163"/>
      <c r="T932" s="163"/>
      <c r="U932" s="163"/>
      <c r="V932" s="163"/>
      <c r="W932" s="163"/>
      <c r="X932" s="163"/>
      <c r="Y932" s="163"/>
      <c r="Z932" s="163"/>
      <c r="AA932" s="163"/>
      <c r="AB932" s="163"/>
      <c r="AC932" s="163"/>
      <c r="AD932" s="163"/>
      <c r="AE932" s="163"/>
      <c r="AF932" s="163"/>
      <c r="AG932" s="163"/>
      <c r="AH932" s="163"/>
      <c r="AI932" s="163"/>
      <c r="AJ932" s="163"/>
      <c r="AK932" s="163"/>
      <c r="AL932" s="163"/>
      <c r="AM932" s="163"/>
      <c r="AN932" s="163"/>
      <c r="AO932" s="163"/>
      <c r="AP932" s="163"/>
      <c r="AQ932" s="163"/>
      <c r="AR932" s="163"/>
      <c r="AS932" s="163"/>
      <c r="AT932" s="163"/>
    </row>
    <row r="933" spans="9:46" s="164" customFormat="1" x14ac:dyDescent="0.2">
      <c r="I933" s="165"/>
      <c r="O933" s="163"/>
      <c r="P933" s="163"/>
      <c r="Q933" s="163"/>
      <c r="R933" s="163"/>
      <c r="S933" s="163"/>
      <c r="T933" s="163"/>
      <c r="U933" s="163"/>
      <c r="V933" s="163"/>
      <c r="W933" s="163"/>
      <c r="X933" s="163"/>
      <c r="Y933" s="163"/>
      <c r="Z933" s="163"/>
      <c r="AA933" s="163"/>
      <c r="AB933" s="163"/>
      <c r="AC933" s="163"/>
      <c r="AD933" s="163"/>
      <c r="AE933" s="163"/>
      <c r="AF933" s="163"/>
      <c r="AG933" s="163"/>
      <c r="AH933" s="163"/>
      <c r="AI933" s="163"/>
      <c r="AJ933" s="163"/>
      <c r="AK933" s="163"/>
      <c r="AL933" s="163"/>
      <c r="AM933" s="163"/>
      <c r="AN933" s="163"/>
      <c r="AO933" s="163"/>
      <c r="AP933" s="163"/>
      <c r="AQ933" s="163"/>
      <c r="AR933" s="163"/>
      <c r="AS933" s="163"/>
      <c r="AT933" s="163"/>
    </row>
    <row r="934" spans="9:46" s="164" customFormat="1" x14ac:dyDescent="0.2">
      <c r="I934" s="165"/>
      <c r="O934" s="163"/>
      <c r="P934" s="163"/>
      <c r="Q934" s="163"/>
      <c r="R934" s="163"/>
      <c r="S934" s="163"/>
      <c r="T934" s="163"/>
      <c r="U934" s="163"/>
      <c r="V934" s="163"/>
      <c r="W934" s="163"/>
      <c r="X934" s="163"/>
      <c r="Y934" s="163"/>
      <c r="Z934" s="163"/>
      <c r="AA934" s="163"/>
      <c r="AB934" s="163"/>
      <c r="AC934" s="163"/>
      <c r="AD934" s="163"/>
      <c r="AE934" s="163"/>
      <c r="AF934" s="163"/>
      <c r="AG934" s="163"/>
      <c r="AH934" s="163"/>
      <c r="AI934" s="163"/>
      <c r="AJ934" s="163"/>
      <c r="AK934" s="163"/>
      <c r="AL934" s="163"/>
      <c r="AM934" s="163"/>
      <c r="AN934" s="163"/>
      <c r="AO934" s="163"/>
      <c r="AP934" s="163"/>
      <c r="AQ934" s="163"/>
      <c r="AR934" s="163"/>
      <c r="AS934" s="163"/>
      <c r="AT934" s="163"/>
    </row>
    <row r="935" spans="9:46" s="164" customFormat="1" x14ac:dyDescent="0.2">
      <c r="I935" s="165"/>
      <c r="O935" s="163"/>
      <c r="P935" s="163"/>
      <c r="Q935" s="163"/>
      <c r="R935" s="163"/>
      <c r="S935" s="163"/>
      <c r="T935" s="163"/>
      <c r="U935" s="163"/>
      <c r="V935" s="163"/>
      <c r="W935" s="163"/>
      <c r="X935" s="163"/>
      <c r="Y935" s="163"/>
      <c r="Z935" s="163"/>
      <c r="AA935" s="163"/>
      <c r="AB935" s="163"/>
      <c r="AC935" s="163"/>
      <c r="AD935" s="163"/>
      <c r="AE935" s="163"/>
      <c r="AF935" s="163"/>
      <c r="AG935" s="163"/>
      <c r="AH935" s="163"/>
      <c r="AI935" s="163"/>
      <c r="AJ935" s="163"/>
      <c r="AK935" s="163"/>
      <c r="AL935" s="163"/>
      <c r="AM935" s="163"/>
      <c r="AN935" s="163"/>
      <c r="AO935" s="163"/>
      <c r="AP935" s="163"/>
      <c r="AQ935" s="163"/>
      <c r="AR935" s="163"/>
      <c r="AS935" s="163"/>
      <c r="AT935" s="163"/>
    </row>
    <row r="936" spans="9:46" s="164" customFormat="1" x14ac:dyDescent="0.2">
      <c r="I936" s="165"/>
      <c r="O936" s="163"/>
      <c r="P936" s="163"/>
      <c r="Q936" s="163"/>
      <c r="R936" s="163"/>
      <c r="S936" s="163"/>
      <c r="T936" s="163"/>
      <c r="U936" s="163"/>
      <c r="V936" s="163"/>
      <c r="W936" s="163"/>
      <c r="X936" s="163"/>
      <c r="Y936" s="163"/>
      <c r="Z936" s="163"/>
      <c r="AA936" s="163"/>
      <c r="AB936" s="163"/>
      <c r="AC936" s="163"/>
      <c r="AD936" s="163"/>
      <c r="AE936" s="163"/>
      <c r="AF936" s="163"/>
      <c r="AG936" s="163"/>
      <c r="AH936" s="163"/>
      <c r="AI936" s="163"/>
      <c r="AJ936" s="163"/>
      <c r="AK936" s="163"/>
      <c r="AL936" s="163"/>
      <c r="AM936" s="163"/>
      <c r="AN936" s="163"/>
      <c r="AO936" s="163"/>
      <c r="AP936" s="163"/>
      <c r="AQ936" s="163"/>
      <c r="AR936" s="163"/>
      <c r="AS936" s="163"/>
      <c r="AT936" s="163"/>
    </row>
    <row r="937" spans="9:46" s="164" customFormat="1" x14ac:dyDescent="0.2">
      <c r="I937" s="165"/>
      <c r="O937" s="163"/>
      <c r="P937" s="163"/>
      <c r="Q937" s="163"/>
      <c r="R937" s="163"/>
      <c r="S937" s="163"/>
      <c r="T937" s="163"/>
      <c r="U937" s="163"/>
      <c r="V937" s="163"/>
      <c r="W937" s="163"/>
      <c r="X937" s="163"/>
      <c r="Y937" s="163"/>
      <c r="Z937" s="163"/>
      <c r="AA937" s="163"/>
      <c r="AB937" s="163"/>
      <c r="AC937" s="163"/>
      <c r="AD937" s="163"/>
      <c r="AE937" s="163"/>
      <c r="AF937" s="163"/>
      <c r="AG937" s="163"/>
      <c r="AH937" s="163"/>
      <c r="AI937" s="163"/>
      <c r="AJ937" s="163"/>
      <c r="AK937" s="163"/>
      <c r="AL937" s="163"/>
      <c r="AM937" s="163"/>
      <c r="AN937" s="163"/>
      <c r="AO937" s="163"/>
      <c r="AP937" s="163"/>
      <c r="AQ937" s="163"/>
      <c r="AR937" s="163"/>
      <c r="AS937" s="163"/>
      <c r="AT937" s="163"/>
    </row>
    <row r="938" spans="9:46" s="164" customFormat="1" x14ac:dyDescent="0.2">
      <c r="I938" s="165"/>
      <c r="O938" s="163"/>
      <c r="P938" s="163"/>
      <c r="Q938" s="163"/>
      <c r="R938" s="163"/>
      <c r="S938" s="163"/>
      <c r="T938" s="163"/>
      <c r="U938" s="163"/>
      <c r="V938" s="163"/>
      <c r="W938" s="163"/>
      <c r="X938" s="163"/>
      <c r="Y938" s="163"/>
      <c r="Z938" s="163"/>
      <c r="AA938" s="163"/>
      <c r="AB938" s="163"/>
      <c r="AC938" s="163"/>
      <c r="AD938" s="163"/>
      <c r="AE938" s="163"/>
      <c r="AF938" s="163"/>
      <c r="AG938" s="163"/>
      <c r="AH938" s="163"/>
      <c r="AI938" s="163"/>
      <c r="AJ938" s="163"/>
      <c r="AK938" s="163"/>
      <c r="AL938" s="163"/>
      <c r="AM938" s="163"/>
      <c r="AN938" s="163"/>
      <c r="AO938" s="163"/>
      <c r="AP938" s="163"/>
      <c r="AQ938" s="163"/>
      <c r="AR938" s="163"/>
      <c r="AS938" s="163"/>
      <c r="AT938" s="163"/>
    </row>
    <row r="939" spans="9:46" s="164" customFormat="1" x14ac:dyDescent="0.2">
      <c r="I939" s="165"/>
      <c r="O939" s="163"/>
      <c r="P939" s="163"/>
      <c r="Q939" s="163"/>
      <c r="R939" s="163"/>
      <c r="S939" s="163"/>
      <c r="T939" s="163"/>
      <c r="U939" s="163"/>
      <c r="V939" s="163"/>
      <c r="W939" s="163"/>
      <c r="X939" s="163"/>
      <c r="Y939" s="163"/>
      <c r="Z939" s="163"/>
      <c r="AA939" s="163"/>
      <c r="AB939" s="163"/>
      <c r="AC939" s="163"/>
      <c r="AD939" s="163"/>
      <c r="AE939" s="163"/>
      <c r="AF939" s="163"/>
      <c r="AG939" s="163"/>
      <c r="AH939" s="163"/>
      <c r="AI939" s="163"/>
      <c r="AJ939" s="163"/>
      <c r="AK939" s="163"/>
      <c r="AL939" s="163"/>
      <c r="AM939" s="163"/>
      <c r="AN939" s="163"/>
      <c r="AO939" s="163"/>
      <c r="AP939" s="163"/>
      <c r="AQ939" s="163"/>
      <c r="AR939" s="163"/>
      <c r="AS939" s="163"/>
      <c r="AT939" s="163"/>
    </row>
    <row r="940" spans="9:46" s="164" customFormat="1" x14ac:dyDescent="0.2">
      <c r="I940" s="165"/>
      <c r="O940" s="163"/>
      <c r="P940" s="163"/>
      <c r="Q940" s="163"/>
      <c r="R940" s="163"/>
      <c r="S940" s="163"/>
      <c r="T940" s="163"/>
      <c r="U940" s="163"/>
      <c r="V940" s="163"/>
      <c r="W940" s="163"/>
      <c r="X940" s="163"/>
      <c r="Y940" s="163"/>
      <c r="Z940" s="163"/>
      <c r="AA940" s="163"/>
      <c r="AB940" s="163"/>
      <c r="AC940" s="163"/>
      <c r="AD940" s="163"/>
      <c r="AE940" s="163"/>
      <c r="AF940" s="163"/>
      <c r="AG940" s="163"/>
      <c r="AH940" s="163"/>
      <c r="AI940" s="163"/>
      <c r="AJ940" s="163"/>
      <c r="AK940" s="163"/>
      <c r="AL940" s="163"/>
      <c r="AM940" s="163"/>
      <c r="AN940" s="163"/>
      <c r="AO940" s="163"/>
      <c r="AP940" s="163"/>
      <c r="AQ940" s="163"/>
      <c r="AR940" s="163"/>
      <c r="AS940" s="163"/>
      <c r="AT940" s="163"/>
    </row>
    <row r="941" spans="9:46" s="164" customFormat="1" x14ac:dyDescent="0.2">
      <c r="I941" s="165"/>
      <c r="O941" s="163"/>
      <c r="P941" s="163"/>
      <c r="Q941" s="163"/>
      <c r="R941" s="163"/>
      <c r="S941" s="163"/>
      <c r="T941" s="163"/>
      <c r="U941" s="163"/>
      <c r="V941" s="163"/>
      <c r="W941" s="163"/>
      <c r="X941" s="163"/>
      <c r="Y941" s="163"/>
      <c r="Z941" s="163"/>
      <c r="AA941" s="163"/>
      <c r="AB941" s="163"/>
      <c r="AC941" s="163"/>
      <c r="AD941" s="163"/>
      <c r="AE941" s="163"/>
      <c r="AF941" s="163"/>
      <c r="AG941" s="163"/>
      <c r="AH941" s="163"/>
      <c r="AI941" s="163"/>
      <c r="AJ941" s="163"/>
      <c r="AK941" s="163"/>
      <c r="AL941" s="163"/>
      <c r="AM941" s="163"/>
      <c r="AN941" s="163"/>
      <c r="AO941" s="163"/>
      <c r="AP941" s="163"/>
      <c r="AQ941" s="163"/>
      <c r="AR941" s="163"/>
      <c r="AS941" s="163"/>
      <c r="AT941" s="163"/>
    </row>
    <row r="942" spans="9:46" s="164" customFormat="1" x14ac:dyDescent="0.2">
      <c r="I942" s="165"/>
      <c r="O942" s="163"/>
      <c r="P942" s="163"/>
      <c r="Q942" s="163"/>
      <c r="R942" s="163"/>
      <c r="S942" s="163"/>
      <c r="T942" s="163"/>
      <c r="U942" s="163"/>
      <c r="V942" s="163"/>
      <c r="W942" s="163"/>
      <c r="X942" s="163"/>
      <c r="Y942" s="163"/>
      <c r="Z942" s="163"/>
      <c r="AA942" s="163"/>
      <c r="AB942" s="163"/>
      <c r="AC942" s="163"/>
      <c r="AD942" s="163"/>
      <c r="AE942" s="163"/>
      <c r="AF942" s="163"/>
      <c r="AG942" s="163"/>
      <c r="AH942" s="163"/>
      <c r="AI942" s="163"/>
      <c r="AJ942" s="163"/>
      <c r="AK942" s="163"/>
      <c r="AL942" s="163"/>
      <c r="AM942" s="163"/>
      <c r="AN942" s="163"/>
      <c r="AO942" s="163"/>
      <c r="AP942" s="163"/>
      <c r="AQ942" s="163"/>
      <c r="AR942" s="163"/>
      <c r="AS942" s="163"/>
      <c r="AT942" s="163"/>
    </row>
    <row r="943" spans="9:46" s="164" customFormat="1" x14ac:dyDescent="0.2">
      <c r="I943" s="165"/>
      <c r="O943" s="163"/>
      <c r="P943" s="163"/>
      <c r="Q943" s="163"/>
      <c r="R943" s="163"/>
      <c r="S943" s="163"/>
      <c r="T943" s="163"/>
      <c r="U943" s="163"/>
      <c r="V943" s="163"/>
      <c r="W943" s="163"/>
      <c r="X943" s="163"/>
      <c r="Y943" s="163"/>
      <c r="Z943" s="163"/>
      <c r="AA943" s="163"/>
      <c r="AB943" s="163"/>
      <c r="AC943" s="163"/>
      <c r="AD943" s="163"/>
      <c r="AE943" s="163"/>
      <c r="AF943" s="163"/>
      <c r="AG943" s="163"/>
      <c r="AH943" s="163"/>
      <c r="AI943" s="163"/>
      <c r="AJ943" s="163"/>
      <c r="AK943" s="163"/>
      <c r="AL943" s="163"/>
      <c r="AM943" s="163"/>
      <c r="AN943" s="163"/>
      <c r="AO943" s="163"/>
      <c r="AP943" s="163"/>
      <c r="AQ943" s="163"/>
      <c r="AR943" s="163"/>
      <c r="AS943" s="163"/>
      <c r="AT943" s="163"/>
    </row>
    <row r="944" spans="9:46" s="164" customFormat="1" x14ac:dyDescent="0.2">
      <c r="I944" s="165"/>
      <c r="O944" s="163"/>
      <c r="P944" s="163"/>
      <c r="Q944" s="163"/>
      <c r="R944" s="163"/>
      <c r="S944" s="163"/>
      <c r="T944" s="163"/>
      <c r="U944" s="163"/>
      <c r="V944" s="163"/>
      <c r="W944" s="163"/>
      <c r="X944" s="163"/>
      <c r="Y944" s="163"/>
      <c r="Z944" s="163"/>
      <c r="AA944" s="163"/>
      <c r="AB944" s="163"/>
      <c r="AC944" s="163"/>
      <c r="AD944" s="163"/>
      <c r="AE944" s="163"/>
      <c r="AF944" s="163"/>
      <c r="AG944" s="163"/>
      <c r="AH944" s="163"/>
      <c r="AI944" s="163"/>
      <c r="AJ944" s="163"/>
      <c r="AK944" s="163"/>
      <c r="AL944" s="163"/>
      <c r="AM944" s="163"/>
      <c r="AN944" s="163"/>
      <c r="AO944" s="163"/>
      <c r="AP944" s="163"/>
      <c r="AQ944" s="163"/>
      <c r="AR944" s="163"/>
      <c r="AS944" s="163"/>
      <c r="AT944" s="163"/>
    </row>
    <row r="945" spans="9:46" s="164" customFormat="1" x14ac:dyDescent="0.2">
      <c r="I945" s="165"/>
      <c r="O945" s="163"/>
      <c r="P945" s="163"/>
      <c r="Q945" s="163"/>
      <c r="R945" s="163"/>
      <c r="S945" s="163"/>
      <c r="T945" s="163"/>
      <c r="U945" s="163"/>
      <c r="V945" s="163"/>
      <c r="W945" s="163"/>
      <c r="X945" s="163"/>
      <c r="Y945" s="163"/>
      <c r="Z945" s="163"/>
      <c r="AA945" s="163"/>
      <c r="AB945" s="163"/>
      <c r="AC945" s="163"/>
      <c r="AD945" s="163"/>
      <c r="AE945" s="163"/>
      <c r="AF945" s="163"/>
      <c r="AG945" s="163"/>
      <c r="AH945" s="163"/>
      <c r="AI945" s="163"/>
      <c r="AJ945" s="163"/>
      <c r="AK945" s="163"/>
      <c r="AL945" s="163"/>
      <c r="AM945" s="163"/>
      <c r="AN945" s="163"/>
      <c r="AO945" s="163"/>
      <c r="AP945" s="163"/>
      <c r="AQ945" s="163"/>
      <c r="AR945" s="163"/>
      <c r="AS945" s="163"/>
      <c r="AT945" s="163"/>
    </row>
    <row r="946" spans="9:46" s="164" customFormat="1" x14ac:dyDescent="0.2">
      <c r="I946" s="165"/>
      <c r="O946" s="163"/>
      <c r="P946" s="163"/>
      <c r="Q946" s="163"/>
      <c r="R946" s="163"/>
      <c r="S946" s="163"/>
      <c r="T946" s="163"/>
      <c r="U946" s="163"/>
      <c r="V946" s="163"/>
      <c r="W946" s="163"/>
      <c r="X946" s="163"/>
      <c r="Y946" s="163"/>
      <c r="Z946" s="163"/>
      <c r="AA946" s="163"/>
      <c r="AB946" s="163"/>
      <c r="AC946" s="163"/>
      <c r="AD946" s="163"/>
      <c r="AE946" s="163"/>
      <c r="AF946" s="163"/>
      <c r="AG946" s="163"/>
      <c r="AH946" s="163"/>
      <c r="AI946" s="163"/>
      <c r="AJ946" s="163"/>
      <c r="AK946" s="163"/>
      <c r="AL946" s="163"/>
      <c r="AM946" s="163"/>
      <c r="AN946" s="163"/>
      <c r="AO946" s="163"/>
      <c r="AP946" s="163"/>
      <c r="AQ946" s="163"/>
      <c r="AR946" s="163"/>
      <c r="AS946" s="163"/>
      <c r="AT946" s="163"/>
    </row>
    <row r="947" spans="9:46" s="164" customFormat="1" x14ac:dyDescent="0.2">
      <c r="I947" s="165"/>
      <c r="O947" s="163"/>
      <c r="P947" s="163"/>
      <c r="Q947" s="163"/>
      <c r="R947" s="163"/>
      <c r="S947" s="163"/>
      <c r="T947" s="163"/>
      <c r="U947" s="163"/>
      <c r="V947" s="163"/>
      <c r="W947" s="163"/>
      <c r="X947" s="163"/>
      <c r="Y947" s="163"/>
      <c r="Z947" s="163"/>
      <c r="AA947" s="163"/>
      <c r="AB947" s="163"/>
      <c r="AC947" s="163"/>
      <c r="AD947" s="163"/>
      <c r="AE947" s="163"/>
      <c r="AF947" s="163"/>
      <c r="AG947" s="163"/>
      <c r="AH947" s="163"/>
      <c r="AI947" s="163"/>
      <c r="AJ947" s="163"/>
      <c r="AK947" s="163"/>
      <c r="AL947" s="163"/>
      <c r="AM947" s="163"/>
      <c r="AN947" s="163"/>
      <c r="AO947" s="163"/>
      <c r="AP947" s="163"/>
      <c r="AQ947" s="163"/>
      <c r="AR947" s="163"/>
      <c r="AS947" s="163"/>
      <c r="AT947" s="163"/>
    </row>
    <row r="948" spans="9:46" s="164" customFormat="1" x14ac:dyDescent="0.2">
      <c r="I948" s="165"/>
      <c r="O948" s="163"/>
      <c r="P948" s="163"/>
      <c r="Q948" s="163"/>
      <c r="R948" s="163"/>
      <c r="S948" s="163"/>
      <c r="T948" s="163"/>
      <c r="U948" s="163"/>
      <c r="V948" s="163"/>
      <c r="W948" s="163"/>
      <c r="X948" s="163"/>
      <c r="Y948" s="163"/>
      <c r="Z948" s="163"/>
      <c r="AA948" s="163"/>
      <c r="AB948" s="163"/>
      <c r="AC948" s="163"/>
      <c r="AD948" s="163"/>
      <c r="AE948" s="163"/>
      <c r="AF948" s="163"/>
      <c r="AG948" s="163"/>
      <c r="AH948" s="163"/>
      <c r="AI948" s="163"/>
      <c r="AJ948" s="163"/>
      <c r="AK948" s="163"/>
      <c r="AL948" s="163"/>
      <c r="AM948" s="163"/>
      <c r="AN948" s="163"/>
      <c r="AO948" s="163"/>
      <c r="AP948" s="163"/>
      <c r="AQ948" s="163"/>
      <c r="AR948" s="163"/>
      <c r="AS948" s="163"/>
      <c r="AT948" s="163"/>
    </row>
    <row r="949" spans="9:46" s="164" customFormat="1" x14ac:dyDescent="0.2">
      <c r="I949" s="165"/>
      <c r="O949" s="163"/>
      <c r="P949" s="163"/>
      <c r="Q949" s="163"/>
      <c r="R949" s="163"/>
      <c r="S949" s="163"/>
      <c r="T949" s="163"/>
      <c r="U949" s="163"/>
      <c r="V949" s="163"/>
      <c r="W949" s="163"/>
      <c r="X949" s="163"/>
      <c r="Y949" s="163"/>
      <c r="Z949" s="163"/>
      <c r="AA949" s="163"/>
      <c r="AB949" s="163"/>
      <c r="AC949" s="163"/>
      <c r="AD949" s="163"/>
      <c r="AE949" s="163"/>
      <c r="AF949" s="163"/>
      <c r="AG949" s="163"/>
      <c r="AH949" s="163"/>
      <c r="AI949" s="163"/>
      <c r="AJ949" s="163"/>
      <c r="AK949" s="163"/>
      <c r="AL949" s="163"/>
      <c r="AM949" s="163"/>
      <c r="AN949" s="163"/>
      <c r="AO949" s="163"/>
      <c r="AP949" s="163"/>
      <c r="AQ949" s="163"/>
      <c r="AR949" s="163"/>
      <c r="AS949" s="163"/>
      <c r="AT949" s="163"/>
    </row>
    <row r="950" spans="9:46" s="164" customFormat="1" x14ac:dyDescent="0.2">
      <c r="I950" s="165"/>
      <c r="O950" s="163"/>
      <c r="P950" s="163"/>
      <c r="Q950" s="163"/>
      <c r="R950" s="163"/>
      <c r="S950" s="163"/>
      <c r="T950" s="163"/>
      <c r="U950" s="163"/>
      <c r="V950" s="163"/>
      <c r="W950" s="163"/>
      <c r="X950" s="163"/>
      <c r="Y950" s="163"/>
      <c r="Z950" s="163"/>
      <c r="AA950" s="163"/>
      <c r="AB950" s="163"/>
      <c r="AC950" s="163"/>
      <c r="AD950" s="163"/>
      <c r="AE950" s="163"/>
      <c r="AF950" s="163"/>
      <c r="AG950" s="163"/>
      <c r="AH950" s="163"/>
      <c r="AI950" s="163"/>
      <c r="AJ950" s="163"/>
      <c r="AK950" s="163"/>
      <c r="AL950" s="163"/>
      <c r="AM950" s="163"/>
      <c r="AN950" s="163"/>
      <c r="AO950" s="163"/>
      <c r="AP950" s="163"/>
      <c r="AQ950" s="163"/>
      <c r="AR950" s="163"/>
      <c r="AS950" s="163"/>
      <c r="AT950" s="163"/>
    </row>
    <row r="951" spans="9:46" s="164" customFormat="1" x14ac:dyDescent="0.2">
      <c r="I951" s="165"/>
      <c r="O951" s="163"/>
      <c r="P951" s="163"/>
      <c r="Q951" s="163"/>
      <c r="R951" s="163"/>
      <c r="S951" s="163"/>
      <c r="T951" s="163"/>
      <c r="U951" s="163"/>
      <c r="V951" s="163"/>
      <c r="W951" s="163"/>
      <c r="X951" s="163"/>
      <c r="Y951" s="163"/>
      <c r="Z951" s="163"/>
      <c r="AA951" s="163"/>
      <c r="AB951" s="163"/>
      <c r="AC951" s="163"/>
      <c r="AD951" s="163"/>
      <c r="AE951" s="163"/>
      <c r="AF951" s="163"/>
      <c r="AG951" s="163"/>
      <c r="AH951" s="163"/>
      <c r="AI951" s="163"/>
      <c r="AJ951" s="163"/>
      <c r="AK951" s="163"/>
      <c r="AL951" s="163"/>
      <c r="AM951" s="163"/>
      <c r="AN951" s="163"/>
      <c r="AO951" s="163"/>
      <c r="AP951" s="163"/>
      <c r="AQ951" s="163"/>
      <c r="AR951" s="163"/>
      <c r="AS951" s="163"/>
      <c r="AT951" s="163"/>
    </row>
    <row r="952" spans="9:46" s="164" customFormat="1" x14ac:dyDescent="0.2">
      <c r="I952" s="165"/>
      <c r="O952" s="163"/>
      <c r="P952" s="163"/>
      <c r="Q952" s="163"/>
      <c r="R952" s="163"/>
      <c r="S952" s="163"/>
      <c r="T952" s="163"/>
      <c r="U952" s="163"/>
      <c r="V952" s="163"/>
      <c r="W952" s="163"/>
      <c r="X952" s="163"/>
      <c r="Y952" s="163"/>
      <c r="Z952" s="163"/>
      <c r="AA952" s="163"/>
      <c r="AB952" s="163"/>
      <c r="AC952" s="163"/>
      <c r="AD952" s="163"/>
      <c r="AE952" s="163"/>
      <c r="AF952" s="163"/>
      <c r="AG952" s="163"/>
      <c r="AH952" s="163"/>
      <c r="AI952" s="163"/>
      <c r="AJ952" s="163"/>
      <c r="AK952" s="163"/>
      <c r="AL952" s="163"/>
      <c r="AM952" s="163"/>
      <c r="AN952" s="163"/>
      <c r="AO952" s="163"/>
      <c r="AP952" s="163"/>
      <c r="AQ952" s="163"/>
      <c r="AR952" s="163"/>
      <c r="AS952" s="163"/>
      <c r="AT952" s="163"/>
    </row>
    <row r="953" spans="9:46" s="164" customFormat="1" x14ac:dyDescent="0.2">
      <c r="I953" s="165"/>
      <c r="O953" s="163"/>
      <c r="P953" s="163"/>
      <c r="Q953" s="163"/>
      <c r="R953" s="163"/>
      <c r="S953" s="163"/>
      <c r="T953" s="163"/>
      <c r="U953" s="163"/>
      <c r="V953" s="163"/>
      <c r="W953" s="163"/>
      <c r="X953" s="163"/>
      <c r="Y953" s="163"/>
      <c r="Z953" s="163"/>
      <c r="AA953" s="163"/>
      <c r="AB953" s="163"/>
      <c r="AC953" s="163"/>
      <c r="AD953" s="163"/>
      <c r="AE953" s="163"/>
      <c r="AF953" s="163"/>
      <c r="AG953" s="163"/>
      <c r="AH953" s="163"/>
      <c r="AI953" s="163"/>
      <c r="AJ953" s="163"/>
      <c r="AK953" s="163"/>
      <c r="AL953" s="163"/>
      <c r="AM953" s="163"/>
      <c r="AN953" s="163"/>
      <c r="AO953" s="163"/>
      <c r="AP953" s="163"/>
      <c r="AQ953" s="163"/>
      <c r="AR953" s="163"/>
      <c r="AS953" s="163"/>
      <c r="AT953" s="163"/>
    </row>
    <row r="954" spans="9:46" s="164" customFormat="1" x14ac:dyDescent="0.2">
      <c r="I954" s="165"/>
      <c r="O954" s="163"/>
      <c r="P954" s="163"/>
      <c r="Q954" s="163"/>
      <c r="R954" s="163"/>
      <c r="S954" s="163"/>
      <c r="T954" s="163"/>
      <c r="U954" s="163"/>
      <c r="V954" s="163"/>
      <c r="W954" s="163"/>
      <c r="X954" s="163"/>
      <c r="Y954" s="163"/>
      <c r="Z954" s="163"/>
      <c r="AA954" s="163"/>
      <c r="AB954" s="163"/>
      <c r="AC954" s="163"/>
      <c r="AD954" s="163"/>
      <c r="AE954" s="163"/>
      <c r="AF954" s="163"/>
      <c r="AG954" s="163"/>
      <c r="AH954" s="163"/>
      <c r="AI954" s="163"/>
      <c r="AJ954" s="163"/>
      <c r="AK954" s="163"/>
      <c r="AL954" s="163"/>
      <c r="AM954" s="163"/>
      <c r="AN954" s="163"/>
      <c r="AO954" s="163"/>
      <c r="AP954" s="163"/>
      <c r="AQ954" s="163"/>
      <c r="AR954" s="163"/>
      <c r="AS954" s="163"/>
      <c r="AT954" s="163"/>
    </row>
    <row r="955" spans="9:46" s="164" customFormat="1" x14ac:dyDescent="0.2">
      <c r="I955" s="165"/>
      <c r="O955" s="163"/>
      <c r="P955" s="163"/>
      <c r="Q955" s="163"/>
      <c r="R955" s="163"/>
      <c r="S955" s="163"/>
      <c r="T955" s="163"/>
      <c r="U955" s="163"/>
      <c r="V955" s="163"/>
      <c r="W955" s="163"/>
      <c r="X955" s="163"/>
      <c r="Y955" s="163"/>
      <c r="Z955" s="163"/>
      <c r="AA955" s="163"/>
      <c r="AB955" s="163"/>
      <c r="AC955" s="163"/>
      <c r="AD955" s="163"/>
      <c r="AE955" s="163"/>
      <c r="AF955" s="163"/>
      <c r="AG955" s="163"/>
      <c r="AH955" s="163"/>
      <c r="AI955" s="163"/>
      <c r="AJ955" s="163"/>
      <c r="AK955" s="163"/>
      <c r="AL955" s="163"/>
      <c r="AM955" s="163"/>
      <c r="AN955" s="163"/>
      <c r="AO955" s="163"/>
      <c r="AP955" s="163"/>
      <c r="AQ955" s="163"/>
      <c r="AR955" s="163"/>
      <c r="AS955" s="163"/>
      <c r="AT955" s="163"/>
    </row>
    <row r="956" spans="9:46" s="164" customFormat="1" x14ac:dyDescent="0.2">
      <c r="I956" s="165"/>
      <c r="O956" s="163"/>
      <c r="P956" s="163"/>
      <c r="Q956" s="163"/>
      <c r="R956" s="163"/>
      <c r="S956" s="163"/>
      <c r="T956" s="163"/>
      <c r="U956" s="163"/>
      <c r="V956" s="163"/>
      <c r="W956" s="163"/>
      <c r="X956" s="163"/>
      <c r="Y956" s="163"/>
      <c r="Z956" s="163"/>
      <c r="AA956" s="163"/>
      <c r="AB956" s="163"/>
      <c r="AC956" s="163"/>
      <c r="AD956" s="163"/>
      <c r="AE956" s="163"/>
      <c r="AF956" s="163"/>
      <c r="AG956" s="163"/>
      <c r="AH956" s="163"/>
      <c r="AI956" s="163"/>
      <c r="AJ956" s="163"/>
      <c r="AK956" s="163"/>
      <c r="AL956" s="163"/>
      <c r="AM956" s="163"/>
      <c r="AN956" s="163"/>
      <c r="AO956" s="163"/>
      <c r="AP956" s="163"/>
      <c r="AQ956" s="163"/>
      <c r="AR956" s="163"/>
      <c r="AS956" s="163"/>
      <c r="AT956" s="163"/>
    </row>
    <row r="957" spans="9:46" s="164" customFormat="1" x14ac:dyDescent="0.2">
      <c r="I957" s="165"/>
      <c r="O957" s="163"/>
      <c r="P957" s="163"/>
      <c r="Q957" s="163"/>
      <c r="R957" s="163"/>
      <c r="S957" s="163"/>
      <c r="T957" s="163"/>
      <c r="U957" s="163"/>
      <c r="V957" s="163"/>
      <c r="W957" s="163"/>
      <c r="X957" s="163"/>
      <c r="Y957" s="163"/>
      <c r="Z957" s="163"/>
      <c r="AA957" s="163"/>
      <c r="AB957" s="163"/>
      <c r="AC957" s="163"/>
      <c r="AD957" s="163"/>
      <c r="AE957" s="163"/>
      <c r="AF957" s="163"/>
      <c r="AG957" s="163"/>
      <c r="AH957" s="163"/>
      <c r="AI957" s="163"/>
      <c r="AJ957" s="163"/>
      <c r="AK957" s="163"/>
      <c r="AL957" s="163"/>
      <c r="AM957" s="163"/>
      <c r="AN957" s="163"/>
      <c r="AO957" s="163"/>
      <c r="AP957" s="163"/>
      <c r="AQ957" s="163"/>
      <c r="AR957" s="163"/>
      <c r="AS957" s="163"/>
      <c r="AT957" s="163"/>
    </row>
    <row r="958" spans="9:46" s="164" customFormat="1" x14ac:dyDescent="0.2">
      <c r="I958" s="165"/>
      <c r="O958" s="163"/>
      <c r="P958" s="163"/>
      <c r="Q958" s="163"/>
      <c r="R958" s="163"/>
      <c r="S958" s="163"/>
      <c r="T958" s="163"/>
      <c r="U958" s="163"/>
      <c r="V958" s="163"/>
      <c r="W958" s="163"/>
      <c r="X958" s="163"/>
      <c r="Y958" s="163"/>
      <c r="Z958" s="163"/>
      <c r="AA958" s="163"/>
      <c r="AB958" s="163"/>
      <c r="AC958" s="163"/>
      <c r="AD958" s="163"/>
      <c r="AE958" s="163"/>
      <c r="AF958" s="163"/>
      <c r="AG958" s="163"/>
      <c r="AH958" s="163"/>
      <c r="AI958" s="163"/>
      <c r="AJ958" s="163"/>
      <c r="AK958" s="163"/>
      <c r="AL958" s="163"/>
      <c r="AM958" s="163"/>
      <c r="AN958" s="163"/>
      <c r="AO958" s="163"/>
      <c r="AP958" s="163"/>
      <c r="AQ958" s="163"/>
      <c r="AR958" s="163"/>
      <c r="AS958" s="163"/>
      <c r="AT958" s="163"/>
    </row>
    <row r="959" spans="9:46" s="164" customFormat="1" x14ac:dyDescent="0.2">
      <c r="I959" s="165"/>
      <c r="O959" s="163"/>
      <c r="P959" s="163"/>
      <c r="Q959" s="163"/>
      <c r="R959" s="163"/>
      <c r="S959" s="163"/>
      <c r="T959" s="163"/>
      <c r="U959" s="163"/>
      <c r="V959" s="163"/>
      <c r="W959" s="163"/>
      <c r="X959" s="163"/>
      <c r="Y959" s="163"/>
      <c r="Z959" s="163"/>
      <c r="AA959" s="163"/>
      <c r="AB959" s="163"/>
      <c r="AC959" s="163"/>
      <c r="AD959" s="163"/>
      <c r="AE959" s="163"/>
      <c r="AF959" s="163"/>
      <c r="AG959" s="163"/>
      <c r="AH959" s="163"/>
      <c r="AI959" s="163"/>
      <c r="AJ959" s="163"/>
      <c r="AK959" s="163"/>
      <c r="AL959" s="163"/>
      <c r="AM959" s="163"/>
      <c r="AN959" s="163"/>
      <c r="AO959" s="163"/>
      <c r="AP959" s="163"/>
      <c r="AQ959" s="163"/>
      <c r="AR959" s="163"/>
      <c r="AS959" s="163"/>
      <c r="AT959" s="163"/>
    </row>
    <row r="960" spans="9:46" s="164" customFormat="1" x14ac:dyDescent="0.2">
      <c r="I960" s="165"/>
      <c r="O960" s="163"/>
      <c r="P960" s="163"/>
      <c r="Q960" s="163"/>
      <c r="R960" s="163"/>
      <c r="S960" s="163"/>
      <c r="T960" s="163"/>
      <c r="U960" s="163"/>
      <c r="V960" s="163"/>
      <c r="W960" s="163"/>
      <c r="X960" s="163"/>
      <c r="Y960" s="163"/>
      <c r="Z960" s="163"/>
      <c r="AA960" s="163"/>
      <c r="AB960" s="163"/>
      <c r="AC960" s="163"/>
      <c r="AD960" s="163"/>
      <c r="AE960" s="163"/>
      <c r="AF960" s="163"/>
      <c r="AG960" s="163"/>
      <c r="AH960" s="163"/>
      <c r="AI960" s="163"/>
      <c r="AJ960" s="163"/>
      <c r="AK960" s="163"/>
      <c r="AL960" s="163"/>
      <c r="AM960" s="163"/>
      <c r="AN960" s="163"/>
      <c r="AO960" s="163"/>
      <c r="AP960" s="163"/>
      <c r="AQ960" s="163"/>
      <c r="AR960" s="163"/>
      <c r="AS960" s="163"/>
      <c r="AT960" s="163"/>
    </row>
    <row r="961" spans="9:49" s="164" customFormat="1" x14ac:dyDescent="0.2">
      <c r="I961" s="165"/>
      <c r="O961" s="163"/>
      <c r="P961" s="163"/>
      <c r="Q961" s="163"/>
      <c r="R961" s="163"/>
      <c r="S961" s="163"/>
      <c r="T961" s="163"/>
      <c r="U961" s="163"/>
      <c r="V961" s="163"/>
      <c r="W961" s="163"/>
      <c r="X961" s="163"/>
      <c r="Y961" s="163"/>
      <c r="Z961" s="163"/>
      <c r="AA961" s="163"/>
      <c r="AB961" s="163"/>
      <c r="AC961" s="163"/>
      <c r="AD961" s="163"/>
      <c r="AE961" s="163"/>
      <c r="AF961" s="163"/>
      <c r="AG961" s="163"/>
      <c r="AH961" s="163"/>
      <c r="AI961" s="163"/>
      <c r="AJ961" s="163"/>
      <c r="AK961" s="163"/>
      <c r="AL961" s="163"/>
      <c r="AM961" s="163"/>
      <c r="AN961" s="163"/>
      <c r="AO961" s="163"/>
      <c r="AP961" s="163"/>
      <c r="AQ961" s="163"/>
      <c r="AR961" s="163"/>
      <c r="AS961" s="163"/>
      <c r="AT961" s="163"/>
    </row>
    <row r="962" spans="9:49" s="164" customFormat="1" x14ac:dyDescent="0.2">
      <c r="I962" s="165"/>
      <c r="O962" s="163"/>
      <c r="P962" s="163"/>
      <c r="Q962" s="163"/>
      <c r="R962" s="163"/>
      <c r="S962" s="163"/>
      <c r="T962" s="163"/>
      <c r="U962" s="163"/>
      <c r="V962" s="163"/>
      <c r="W962" s="163"/>
      <c r="X962" s="163"/>
      <c r="Y962" s="163"/>
      <c r="Z962" s="163"/>
      <c r="AA962" s="163"/>
      <c r="AB962" s="163"/>
      <c r="AC962" s="163"/>
      <c r="AD962" s="163"/>
      <c r="AE962" s="163"/>
      <c r="AF962" s="163"/>
      <c r="AG962" s="163"/>
      <c r="AH962" s="163"/>
      <c r="AI962" s="163"/>
      <c r="AJ962" s="163"/>
      <c r="AK962" s="163"/>
      <c r="AL962" s="163"/>
      <c r="AM962" s="163"/>
      <c r="AN962" s="163"/>
      <c r="AO962" s="163"/>
      <c r="AP962" s="163"/>
      <c r="AQ962" s="163"/>
      <c r="AR962" s="163"/>
      <c r="AS962" s="163"/>
      <c r="AT962" s="163"/>
    </row>
    <row r="963" spans="9:49" s="164" customFormat="1" x14ac:dyDescent="0.2">
      <c r="I963" s="165"/>
      <c r="O963" s="163"/>
      <c r="P963" s="163"/>
      <c r="Q963" s="163"/>
      <c r="R963" s="163"/>
      <c r="S963" s="163"/>
      <c r="T963" s="163"/>
      <c r="U963" s="163"/>
      <c r="V963" s="163"/>
      <c r="W963" s="163"/>
      <c r="X963" s="163"/>
      <c r="Y963" s="163"/>
      <c r="Z963" s="163"/>
      <c r="AA963" s="163"/>
      <c r="AB963" s="163"/>
      <c r="AC963" s="163"/>
      <c r="AD963" s="163"/>
      <c r="AE963" s="163"/>
      <c r="AF963" s="163"/>
      <c r="AG963" s="163"/>
      <c r="AH963" s="163"/>
      <c r="AI963" s="163"/>
      <c r="AJ963" s="163"/>
      <c r="AK963" s="163"/>
      <c r="AL963" s="163"/>
      <c r="AM963" s="163"/>
      <c r="AN963" s="163"/>
      <c r="AO963" s="163"/>
      <c r="AP963" s="163"/>
      <c r="AQ963" s="163"/>
      <c r="AR963" s="163"/>
      <c r="AS963" s="163"/>
      <c r="AT963" s="163"/>
    </row>
    <row r="964" spans="9:49" s="164" customFormat="1" x14ac:dyDescent="0.2">
      <c r="I964" s="165"/>
      <c r="O964" s="163"/>
      <c r="P964" s="163"/>
      <c r="Q964" s="163"/>
      <c r="R964" s="163"/>
      <c r="S964" s="163"/>
      <c r="T964" s="163"/>
      <c r="U964" s="163"/>
      <c r="V964" s="163"/>
      <c r="W964" s="163"/>
      <c r="X964" s="163"/>
      <c r="Y964" s="163"/>
      <c r="Z964" s="163"/>
      <c r="AA964" s="163"/>
      <c r="AB964" s="163"/>
      <c r="AC964" s="163"/>
      <c r="AD964" s="163"/>
      <c r="AE964" s="163"/>
      <c r="AF964" s="163"/>
      <c r="AG964" s="163"/>
      <c r="AH964" s="163"/>
      <c r="AI964" s="163"/>
      <c r="AJ964" s="163"/>
      <c r="AK964" s="163"/>
      <c r="AL964" s="163"/>
      <c r="AM964" s="163"/>
      <c r="AN964" s="163"/>
      <c r="AO964" s="163"/>
      <c r="AP964" s="163"/>
      <c r="AQ964" s="163"/>
      <c r="AR964" s="163"/>
      <c r="AS964" s="163"/>
      <c r="AT964" s="163"/>
    </row>
    <row r="965" spans="9:49" s="164" customFormat="1" x14ac:dyDescent="0.2">
      <c r="I965" s="165"/>
      <c r="O965" s="163"/>
      <c r="P965" s="163"/>
      <c r="Q965" s="163"/>
      <c r="R965" s="163"/>
      <c r="S965" s="163"/>
      <c r="T965" s="163"/>
      <c r="U965" s="163"/>
      <c r="V965" s="163"/>
      <c r="W965" s="163"/>
      <c r="X965" s="163"/>
      <c r="Y965" s="163"/>
      <c r="Z965" s="163"/>
      <c r="AA965" s="163"/>
      <c r="AB965" s="163"/>
      <c r="AC965" s="163"/>
      <c r="AD965" s="163"/>
      <c r="AE965" s="163"/>
      <c r="AF965" s="163"/>
      <c r="AG965" s="163"/>
      <c r="AH965" s="163"/>
      <c r="AI965" s="163"/>
      <c r="AJ965" s="163"/>
      <c r="AK965" s="163"/>
      <c r="AL965" s="163"/>
      <c r="AM965" s="163"/>
      <c r="AN965" s="163"/>
      <c r="AO965" s="163"/>
      <c r="AP965" s="163"/>
      <c r="AQ965" s="163"/>
      <c r="AR965" s="163"/>
      <c r="AS965" s="163"/>
      <c r="AT965" s="163"/>
    </row>
    <row r="966" spans="9:49" s="164" customFormat="1" x14ac:dyDescent="0.2">
      <c r="I966" s="165"/>
      <c r="O966" s="163"/>
      <c r="P966" s="163"/>
      <c r="Q966" s="163"/>
      <c r="R966" s="163"/>
      <c r="S966" s="163"/>
      <c r="T966" s="163"/>
      <c r="U966" s="163"/>
      <c r="V966" s="163"/>
      <c r="W966" s="163"/>
      <c r="X966" s="163"/>
      <c r="Y966" s="163"/>
      <c r="Z966" s="163"/>
      <c r="AA966" s="163"/>
      <c r="AB966" s="163"/>
      <c r="AC966" s="163"/>
      <c r="AD966" s="163"/>
      <c r="AE966" s="163"/>
      <c r="AF966" s="163"/>
      <c r="AG966" s="163"/>
      <c r="AH966" s="163"/>
      <c r="AI966" s="163"/>
      <c r="AJ966" s="163"/>
      <c r="AK966" s="163"/>
      <c r="AL966" s="163"/>
      <c r="AM966" s="163"/>
      <c r="AN966" s="163"/>
      <c r="AO966" s="163"/>
      <c r="AP966" s="163"/>
      <c r="AQ966" s="163"/>
      <c r="AR966" s="163"/>
      <c r="AS966" s="163"/>
      <c r="AT966" s="163"/>
    </row>
    <row r="967" spans="9:49" s="164" customFormat="1" x14ac:dyDescent="0.2">
      <c r="I967" s="165"/>
      <c r="O967" s="163"/>
      <c r="P967" s="163"/>
      <c r="Q967" s="163"/>
      <c r="R967" s="163"/>
      <c r="S967" s="163"/>
      <c r="T967" s="163"/>
      <c r="U967" s="163"/>
      <c r="V967" s="163"/>
      <c r="W967" s="163"/>
      <c r="X967" s="163"/>
      <c r="Y967" s="163"/>
      <c r="Z967" s="163"/>
      <c r="AA967" s="163"/>
      <c r="AB967" s="163"/>
      <c r="AC967" s="163"/>
      <c r="AD967" s="163"/>
      <c r="AE967" s="163"/>
      <c r="AF967" s="163"/>
      <c r="AG967" s="163"/>
      <c r="AH967" s="163"/>
      <c r="AI967" s="163"/>
      <c r="AJ967" s="163"/>
      <c r="AK967" s="163"/>
      <c r="AL967" s="163"/>
      <c r="AM967" s="163"/>
      <c r="AN967" s="163"/>
      <c r="AO967" s="163"/>
      <c r="AP967" s="163"/>
      <c r="AQ967" s="163"/>
      <c r="AR967" s="163"/>
      <c r="AS967" s="163"/>
      <c r="AT967" s="163"/>
    </row>
    <row r="968" spans="9:49" s="164" customFormat="1" x14ac:dyDescent="0.2">
      <c r="I968" s="165"/>
      <c r="O968" s="163"/>
      <c r="P968" s="163"/>
      <c r="Q968" s="163"/>
      <c r="R968" s="163"/>
      <c r="S968" s="163"/>
      <c r="T968" s="163"/>
      <c r="U968" s="163"/>
      <c r="V968" s="163"/>
      <c r="W968" s="163"/>
      <c r="X968" s="163"/>
      <c r="Y968" s="163"/>
      <c r="Z968" s="163"/>
      <c r="AA968" s="163"/>
      <c r="AB968" s="163"/>
      <c r="AC968" s="163"/>
      <c r="AD968" s="163"/>
      <c r="AE968" s="163"/>
      <c r="AF968" s="163"/>
      <c r="AG968" s="163"/>
      <c r="AH968" s="163"/>
      <c r="AI968" s="163"/>
      <c r="AJ968" s="163"/>
      <c r="AK968" s="163"/>
      <c r="AL968" s="163"/>
      <c r="AM968" s="163"/>
      <c r="AN968" s="163"/>
      <c r="AO968" s="163"/>
      <c r="AP968" s="163"/>
      <c r="AQ968" s="163"/>
      <c r="AR968" s="163"/>
      <c r="AS968" s="163"/>
      <c r="AT968" s="163"/>
    </row>
    <row r="969" spans="9:49" s="164" customFormat="1" x14ac:dyDescent="0.2">
      <c r="I969" s="165"/>
      <c r="O969" s="163"/>
      <c r="P969" s="68"/>
      <c r="Q969" s="68"/>
      <c r="R969" s="68"/>
      <c r="S969" s="68"/>
      <c r="T969" s="68"/>
      <c r="U969" s="68"/>
      <c r="V969" s="68"/>
      <c r="W969" s="68"/>
      <c r="X969" s="68"/>
      <c r="Y969" s="68"/>
      <c r="Z969" s="68"/>
      <c r="AA969" s="68"/>
      <c r="AB969" s="68"/>
      <c r="AC969" s="68"/>
      <c r="AD969" s="68"/>
      <c r="AE969" s="68"/>
      <c r="AF969" s="68"/>
      <c r="AG969" s="68"/>
      <c r="AH969" s="68"/>
      <c r="AI969" s="68"/>
      <c r="AJ969" s="68"/>
      <c r="AK969" s="68"/>
      <c r="AL969" s="68"/>
      <c r="AM969" s="68"/>
      <c r="AN969" s="68"/>
      <c r="AO969" s="68"/>
      <c r="AP969" s="163"/>
      <c r="AQ969" s="163"/>
      <c r="AR969" s="163"/>
      <c r="AS969" s="163"/>
      <c r="AT969" s="163"/>
    </row>
    <row r="970" spans="9:49" s="164" customFormat="1" x14ac:dyDescent="0.2">
      <c r="I970" s="165"/>
      <c r="O970" s="163"/>
      <c r="P970" s="68"/>
      <c r="Q970" s="68"/>
      <c r="R970" s="68"/>
      <c r="S970" s="68"/>
      <c r="T970" s="68"/>
      <c r="U970" s="68"/>
      <c r="V970" s="68"/>
      <c r="W970" s="68"/>
      <c r="X970" s="68"/>
      <c r="Y970" s="68"/>
      <c r="Z970" s="68"/>
      <c r="AA970" s="68"/>
      <c r="AB970" s="68"/>
      <c r="AC970" s="68"/>
      <c r="AD970" s="68"/>
      <c r="AE970" s="68"/>
      <c r="AF970" s="68"/>
      <c r="AG970" s="68"/>
      <c r="AH970" s="68"/>
      <c r="AI970" s="68"/>
      <c r="AJ970" s="68"/>
      <c r="AK970" s="68"/>
      <c r="AL970" s="68"/>
      <c r="AM970" s="68"/>
      <c r="AN970" s="68"/>
      <c r="AO970" s="68"/>
      <c r="AP970" s="163"/>
      <c r="AQ970" s="163"/>
      <c r="AR970" s="163"/>
      <c r="AS970" s="163"/>
      <c r="AT970" s="163"/>
    </row>
    <row r="971" spans="9:49" s="164" customFormat="1" x14ac:dyDescent="0.2">
      <c r="I971" s="165"/>
      <c r="O971" s="163"/>
      <c r="P971" s="68"/>
      <c r="Q971" s="68"/>
      <c r="R971" s="68"/>
      <c r="S971" s="68"/>
      <c r="T971" s="68"/>
      <c r="U971" s="68"/>
      <c r="V971" s="68"/>
      <c r="W971" s="68"/>
      <c r="X971" s="68"/>
      <c r="Y971" s="68"/>
      <c r="Z971" s="68"/>
      <c r="AA971" s="68"/>
      <c r="AB971" s="68"/>
      <c r="AC971" s="68"/>
      <c r="AD971" s="68"/>
      <c r="AE971" s="68"/>
      <c r="AF971" s="68"/>
      <c r="AG971" s="68"/>
      <c r="AH971" s="68"/>
      <c r="AI971" s="68"/>
      <c r="AJ971" s="68"/>
      <c r="AK971" s="68"/>
      <c r="AL971" s="68"/>
      <c r="AM971" s="68"/>
      <c r="AN971" s="68"/>
      <c r="AO971" s="68"/>
      <c r="AP971" s="163"/>
      <c r="AQ971" s="163"/>
      <c r="AR971" s="163"/>
      <c r="AS971" s="163"/>
      <c r="AT971" s="163"/>
    </row>
    <row r="972" spans="9:49" s="164" customFormat="1" x14ac:dyDescent="0.2">
      <c r="I972" s="165"/>
      <c r="O972" s="163"/>
      <c r="P972" s="68"/>
      <c r="Q972" s="68"/>
      <c r="R972" s="68"/>
      <c r="S972" s="68"/>
      <c r="T972" s="68"/>
      <c r="U972" s="68"/>
      <c r="V972" s="68"/>
      <c r="W972" s="68"/>
      <c r="X972" s="68"/>
      <c r="Y972" s="68"/>
      <c r="Z972" s="68"/>
      <c r="AA972" s="68"/>
      <c r="AB972" s="68"/>
      <c r="AC972" s="68"/>
      <c r="AD972" s="68"/>
      <c r="AE972" s="68"/>
      <c r="AF972" s="68"/>
      <c r="AG972" s="68"/>
      <c r="AH972" s="68"/>
      <c r="AI972" s="68"/>
      <c r="AJ972" s="68"/>
      <c r="AK972" s="68"/>
      <c r="AL972" s="68"/>
      <c r="AM972" s="68"/>
      <c r="AN972" s="68"/>
      <c r="AO972" s="68"/>
      <c r="AP972" s="163"/>
      <c r="AQ972" s="163"/>
      <c r="AR972" s="163"/>
      <c r="AS972" s="163"/>
      <c r="AT972" s="163"/>
    </row>
    <row r="973" spans="9:49" s="164" customFormat="1" x14ac:dyDescent="0.2">
      <c r="I973" s="165"/>
      <c r="O973" s="163"/>
      <c r="P973" s="68"/>
      <c r="Q973" s="68"/>
      <c r="R973" s="68"/>
      <c r="S973" s="68"/>
      <c r="T973" s="68"/>
      <c r="U973" s="68"/>
      <c r="V973" s="68"/>
      <c r="W973" s="68"/>
      <c r="X973" s="68"/>
      <c r="Y973" s="68"/>
      <c r="Z973" s="68"/>
      <c r="AA973" s="68"/>
      <c r="AB973" s="68"/>
      <c r="AC973" s="68"/>
      <c r="AD973" s="68"/>
      <c r="AE973" s="68"/>
      <c r="AF973" s="68"/>
      <c r="AG973" s="68"/>
      <c r="AH973" s="68"/>
      <c r="AI973" s="68"/>
      <c r="AJ973" s="68"/>
      <c r="AK973" s="68"/>
      <c r="AL973" s="68"/>
      <c r="AM973" s="68"/>
      <c r="AN973" s="68"/>
      <c r="AO973" s="68"/>
      <c r="AP973" s="163"/>
      <c r="AQ973" s="163"/>
      <c r="AR973" s="163"/>
      <c r="AS973" s="163"/>
      <c r="AT973" s="163"/>
    </row>
    <row r="974" spans="9:49" s="164" customFormat="1" x14ac:dyDescent="0.2">
      <c r="I974" s="165"/>
      <c r="O974" s="163"/>
      <c r="P974" s="68"/>
      <c r="Q974" s="68"/>
      <c r="R974" s="68"/>
      <c r="S974" s="68"/>
      <c r="T974" s="68"/>
      <c r="U974" s="68"/>
      <c r="V974" s="68"/>
      <c r="W974" s="68"/>
      <c r="X974" s="68"/>
      <c r="Y974" s="68"/>
      <c r="Z974" s="68"/>
      <c r="AA974" s="68"/>
      <c r="AB974" s="68"/>
      <c r="AC974" s="68"/>
      <c r="AD974" s="68"/>
      <c r="AE974" s="68"/>
      <c r="AF974" s="68"/>
      <c r="AG974" s="68"/>
      <c r="AH974" s="68"/>
      <c r="AI974" s="68"/>
      <c r="AJ974" s="68"/>
      <c r="AK974" s="68"/>
      <c r="AL974" s="68"/>
      <c r="AM974" s="68"/>
      <c r="AN974" s="68"/>
      <c r="AO974" s="68"/>
      <c r="AP974" s="163"/>
      <c r="AQ974" s="163"/>
      <c r="AR974" s="163"/>
      <c r="AS974" s="163"/>
      <c r="AT974" s="163"/>
    </row>
    <row r="975" spans="9:49" s="164" customFormat="1" x14ac:dyDescent="0.2">
      <c r="I975" s="165"/>
      <c r="O975" s="163"/>
      <c r="P975" s="68"/>
      <c r="Q975" s="68"/>
      <c r="R975" s="68"/>
      <c r="S975" s="68"/>
      <c r="T975" s="68"/>
      <c r="U975" s="68"/>
      <c r="V975" s="68"/>
      <c r="W975" s="68"/>
      <c r="X975" s="68"/>
      <c r="Y975" s="68"/>
      <c r="Z975" s="68"/>
      <c r="AA975" s="68"/>
      <c r="AB975" s="68"/>
      <c r="AC975" s="68"/>
      <c r="AD975" s="68"/>
      <c r="AE975" s="68"/>
      <c r="AF975" s="68"/>
      <c r="AG975" s="68"/>
      <c r="AH975" s="68"/>
      <c r="AI975" s="68"/>
      <c r="AJ975" s="68"/>
      <c r="AK975" s="68"/>
      <c r="AL975" s="68"/>
      <c r="AM975" s="68"/>
      <c r="AN975" s="68"/>
      <c r="AO975" s="68"/>
      <c r="AP975" s="163"/>
      <c r="AQ975" s="163"/>
      <c r="AR975" s="163"/>
      <c r="AS975" s="163"/>
      <c r="AT975" s="163"/>
    </row>
    <row r="976" spans="9:49" s="164" customFormat="1" x14ac:dyDescent="0.2">
      <c r="I976" s="166"/>
      <c r="O976" s="68"/>
      <c r="P976" s="68"/>
      <c r="Q976" s="68"/>
      <c r="R976" s="68"/>
      <c r="S976" s="68"/>
      <c r="T976" s="68"/>
      <c r="U976" s="68"/>
      <c r="V976" s="68"/>
      <c r="W976" s="68"/>
      <c r="X976" s="68"/>
      <c r="Y976" s="68"/>
      <c r="Z976" s="68"/>
      <c r="AA976" s="68"/>
      <c r="AB976" s="68"/>
      <c r="AC976" s="68"/>
      <c r="AD976" s="68"/>
      <c r="AE976" s="68"/>
      <c r="AF976" s="68"/>
      <c r="AG976" s="68"/>
      <c r="AH976" s="68"/>
      <c r="AI976" s="68"/>
      <c r="AJ976" s="68"/>
      <c r="AK976" s="68"/>
      <c r="AL976" s="68"/>
      <c r="AM976" s="68"/>
      <c r="AN976" s="68"/>
      <c r="AO976" s="68"/>
      <c r="AP976" s="68"/>
      <c r="AQ976" s="68"/>
      <c r="AR976" s="68"/>
      <c r="AS976" s="68"/>
      <c r="AT976" s="68"/>
      <c r="AU976" s="69"/>
      <c r="AV976" s="69"/>
      <c r="AW976" s="69"/>
    </row>
  </sheetData>
  <mergeCells count="31">
    <mergeCell ref="J2:O2"/>
    <mergeCell ref="G3:H3"/>
    <mergeCell ref="K3:L3"/>
    <mergeCell ref="M3:O3"/>
    <mergeCell ref="D3:F3"/>
    <mergeCell ref="A1:O1"/>
    <mergeCell ref="A2:C2"/>
    <mergeCell ref="A3:C3"/>
    <mergeCell ref="K7:K8"/>
    <mergeCell ref="L6:M6"/>
    <mergeCell ref="N6:N8"/>
    <mergeCell ref="L7:L8"/>
    <mergeCell ref="B7:B8"/>
    <mergeCell ref="A7:A8"/>
    <mergeCell ref="A4:C4"/>
    <mergeCell ref="G7:G8"/>
    <mergeCell ref="C7:C8"/>
    <mergeCell ref="D7:D8"/>
    <mergeCell ref="J4:O4"/>
    <mergeCell ref="D4:H4"/>
    <mergeCell ref="D2:H2"/>
    <mergeCell ref="H7:I7"/>
    <mergeCell ref="M7:M8"/>
    <mergeCell ref="A6:I6"/>
    <mergeCell ref="F7:F8"/>
    <mergeCell ref="A5:C5"/>
    <mergeCell ref="D5:O5"/>
    <mergeCell ref="E7:E8"/>
    <mergeCell ref="J7:J8"/>
    <mergeCell ref="O6:O8"/>
    <mergeCell ref="J6:K6"/>
  </mergeCells>
  <phoneticPr fontId="0" type="noConversion"/>
  <printOptions horizontalCentered="1" verticalCentered="1"/>
  <pageMargins left="0" right="0" top="1" bottom="1" header="0.5" footer="0.5"/>
  <pageSetup scale="43" orientation="landscape" horizontalDpi="4294967292" r:id="rId1"/>
  <headerFooter alignWithMargins="0"/>
  <colBreaks count="1" manualBreakCount="1">
    <brk id="15" max="1048575" man="1"/>
  </colBreaks>
  <drawing r:id="rId2"/>
  <legacyDrawing r:id="rId3"/>
  <legacyDrawingHF r:id="rId4"/>
  <controls>
    <mc:AlternateContent xmlns:mc="http://schemas.openxmlformats.org/markup-compatibility/2006">
      <mc:Choice Requires="x14">
        <control shapeId="3210" r:id="rId5" name="Delete_results">
          <controlPr defaultSize="0" autoLine="0" autoPict="0" r:id="rId6">
            <anchor moveWithCells="1">
              <from>
                <xdr:col>0</xdr:col>
                <xdr:colOff>95250</xdr:colOff>
                <xdr:row>0</xdr:row>
                <xdr:rowOff>0</xdr:rowOff>
              </from>
              <to>
                <xdr:col>0</xdr:col>
                <xdr:colOff>247650</xdr:colOff>
                <xdr:row>0</xdr:row>
                <xdr:rowOff>28575</xdr:rowOff>
              </to>
            </anchor>
          </controlPr>
        </control>
      </mc:Choice>
      <mc:Fallback>
        <control shapeId="3210" r:id="rId5" name="Delete_results"/>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BX17"/>
  <sheetViews>
    <sheetView view="pageBreakPreview" zoomScale="106" zoomScaleNormal="75" zoomScaleSheetLayoutView="106" workbookViewId="0">
      <selection activeCell="M13" sqref="M13"/>
    </sheetView>
  </sheetViews>
  <sheetFormatPr defaultRowHeight="12.75" x14ac:dyDescent="0.2"/>
  <cols>
    <col min="1" max="2" width="11" style="21" customWidth="1"/>
    <col min="3" max="3" width="12.28515625" style="21" customWidth="1"/>
    <col min="4" max="4" width="15.140625" style="21" customWidth="1"/>
    <col min="5" max="5" width="13.7109375" style="21" customWidth="1"/>
    <col min="6" max="6" width="10.85546875" style="21" customWidth="1"/>
    <col min="7" max="7" width="8.7109375" style="21" customWidth="1"/>
    <col min="8" max="8" width="10.140625" style="21" customWidth="1"/>
    <col min="9" max="9" width="14.5703125" style="21" customWidth="1"/>
    <col min="10" max="10" width="18.42578125" style="21" customWidth="1"/>
    <col min="11" max="11" width="15.85546875" style="21" customWidth="1"/>
    <col min="12" max="12" width="9.140625" style="21"/>
    <col min="13" max="13" width="16" style="21" customWidth="1"/>
    <col min="14" max="14" width="14.7109375" style="21" customWidth="1"/>
    <col min="15" max="15" width="19.85546875" style="21" customWidth="1"/>
    <col min="16" max="16" width="9.140625" style="21"/>
    <col min="17" max="17" width="11.85546875" style="21" customWidth="1"/>
    <col min="18" max="18" width="10.140625" style="21" customWidth="1"/>
    <col min="19" max="25" width="9.140625" style="21"/>
    <col min="26" max="26" width="12" style="21" customWidth="1"/>
    <col min="27" max="27" width="9.140625" style="21" customWidth="1"/>
    <col min="28" max="28" width="5.28515625" style="21" hidden="1" customWidth="1"/>
    <col min="29" max="29" width="7.42578125" style="21" hidden="1" customWidth="1"/>
    <col min="30" max="30" width="6" style="21" hidden="1" customWidth="1"/>
    <col min="31" max="31" width="9.140625" style="21" hidden="1" customWidth="1"/>
    <col min="32" max="32" width="4" style="21" hidden="1" customWidth="1"/>
    <col min="33" max="33" width="5.28515625" style="21" hidden="1" customWidth="1"/>
    <col min="34" max="34" width="4.85546875" style="21" hidden="1" customWidth="1"/>
    <col min="35" max="35" width="15.140625" style="21" hidden="1" customWidth="1"/>
    <col min="36" max="36" width="9.42578125" style="21" hidden="1" customWidth="1"/>
    <col min="37" max="37" width="5.140625" style="21" hidden="1" customWidth="1"/>
    <col min="38" max="39" width="5.7109375" style="21" hidden="1" customWidth="1"/>
    <col min="40" max="40" width="4.140625" style="21" hidden="1" customWidth="1"/>
    <col min="41" max="41" width="5.28515625" style="21" hidden="1" customWidth="1"/>
    <col min="42" max="42" width="4" style="21" hidden="1" customWidth="1"/>
    <col min="43" max="43" width="6.28515625" style="21" hidden="1" customWidth="1"/>
    <col min="44" max="45" width="5.42578125" style="21" hidden="1" customWidth="1"/>
    <col min="46" max="46" width="4.85546875" style="21" hidden="1" customWidth="1"/>
    <col min="47" max="47" width="5.140625" style="21" hidden="1" customWidth="1"/>
    <col min="48" max="48" width="5.28515625" style="21" hidden="1" customWidth="1"/>
    <col min="49" max="49" width="5.140625" style="21" hidden="1" customWidth="1"/>
    <col min="50" max="50" width="4.85546875" style="21" hidden="1" customWidth="1"/>
    <col min="51" max="51" width="4.7109375" style="21" hidden="1" customWidth="1"/>
    <col min="52" max="52" width="3.7109375" style="21" hidden="1" customWidth="1"/>
    <col min="53" max="53" width="3.5703125" style="21" hidden="1" customWidth="1"/>
    <col min="54" max="54" width="5" style="21" hidden="1" customWidth="1"/>
    <col min="55" max="55" width="4.85546875" style="21" hidden="1" customWidth="1"/>
    <col min="56" max="56" width="5.140625" style="21" hidden="1" customWidth="1"/>
    <col min="57" max="57" width="4.85546875" style="21" hidden="1" customWidth="1"/>
    <col min="58" max="58" width="4" style="21" hidden="1" customWidth="1"/>
    <col min="59" max="61" width="4.140625" style="21" hidden="1" customWidth="1"/>
    <col min="62" max="62" width="3.42578125" style="21" hidden="1" customWidth="1"/>
    <col min="63" max="70" width="3.5703125" style="21" hidden="1" customWidth="1"/>
    <col min="71" max="76" width="4.42578125" style="21" hidden="1" customWidth="1"/>
    <col min="77" max="16384" width="9.140625" style="21"/>
  </cols>
  <sheetData>
    <row r="1" spans="1:76" ht="18" x14ac:dyDescent="0.25">
      <c r="A1" s="360" t="s">
        <v>370</v>
      </c>
      <c r="B1" s="360"/>
      <c r="C1" s="360"/>
      <c r="D1" s="360"/>
      <c r="E1" s="360"/>
      <c r="F1" s="360"/>
      <c r="G1" s="360"/>
      <c r="H1" s="360"/>
      <c r="I1" s="360"/>
      <c r="J1" s="360"/>
      <c r="K1" s="360"/>
      <c r="L1" s="360"/>
      <c r="M1" s="360"/>
      <c r="N1" s="360"/>
      <c r="O1" s="360"/>
      <c r="P1" s="360"/>
      <c r="Q1" s="360"/>
      <c r="R1" s="360"/>
      <c r="AB1" s="98" t="s">
        <v>93</v>
      </c>
      <c r="AC1" s="98" t="s">
        <v>84</v>
      </c>
      <c r="AD1" s="98" t="s">
        <v>87</v>
      </c>
      <c r="AE1" s="98" t="s">
        <v>96</v>
      </c>
      <c r="AF1" s="98" t="s">
        <v>90</v>
      </c>
      <c r="AG1" s="98" t="s">
        <v>99</v>
      </c>
      <c r="AH1" s="98" t="s">
        <v>102</v>
      </c>
      <c r="AI1" s="98" t="s">
        <v>262</v>
      </c>
      <c r="AJ1" s="98" t="s">
        <v>263</v>
      </c>
      <c r="AK1" s="98" t="s">
        <v>264</v>
      </c>
      <c r="AL1" s="98"/>
      <c r="AM1" s="99"/>
      <c r="AN1" s="99"/>
      <c r="AO1" s="99"/>
      <c r="AP1" s="99"/>
      <c r="AQ1" s="99"/>
      <c r="AR1" s="99"/>
      <c r="AS1" s="99"/>
      <c r="AT1" s="99"/>
      <c r="AU1" s="99"/>
      <c r="AV1" s="99"/>
      <c r="AW1" s="99"/>
      <c r="AX1" s="99"/>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99"/>
    </row>
    <row r="2" spans="1:76" s="100" customFormat="1" ht="25.5" x14ac:dyDescent="0.2">
      <c r="A2" s="92" t="s">
        <v>6</v>
      </c>
      <c r="B2" s="361" t="str">
        <f>IF('Test Plan &amp; Results Summary'!C2="","",'Test Plan &amp; Results Summary'!C2)</f>
        <v/>
      </c>
      <c r="C2" s="362"/>
      <c r="D2" s="363"/>
      <c r="E2" s="92" t="s">
        <v>7</v>
      </c>
      <c r="F2" s="364" t="str">
        <f>IF('Test Plan &amp; Results Summary'!E2="","",'Test Plan &amp; Results Summary'!E2)</f>
        <v>Camera Annotations</v>
      </c>
      <c r="G2" s="365"/>
      <c r="H2" s="365"/>
      <c r="I2" s="365"/>
      <c r="J2" s="366"/>
      <c r="K2" s="93" t="s">
        <v>306</v>
      </c>
      <c r="L2" s="367"/>
      <c r="M2" s="367"/>
      <c r="N2" s="367"/>
      <c r="O2" s="367"/>
      <c r="P2" s="367"/>
      <c r="Q2" s="367"/>
      <c r="R2" s="367"/>
      <c r="AB2" s="98" t="s">
        <v>105</v>
      </c>
      <c r="AC2" s="98" t="s">
        <v>108</v>
      </c>
      <c r="AD2" s="98" t="s">
        <v>111</v>
      </c>
      <c r="AE2" s="98" t="s">
        <v>114</v>
      </c>
      <c r="AF2" s="98" t="s">
        <v>116</v>
      </c>
      <c r="AG2" s="98" t="s">
        <v>119</v>
      </c>
      <c r="AH2" s="98" t="s">
        <v>259</v>
      </c>
      <c r="AI2" s="98" t="s">
        <v>125</v>
      </c>
      <c r="AJ2" s="98" t="s">
        <v>128</v>
      </c>
      <c r="AK2" s="98" t="s">
        <v>131</v>
      </c>
      <c r="AL2" s="98" t="s">
        <v>133</v>
      </c>
      <c r="AM2" s="98" t="s">
        <v>136</v>
      </c>
      <c r="AN2" s="98" t="s">
        <v>138</v>
      </c>
      <c r="AO2" s="98" t="s">
        <v>139</v>
      </c>
      <c r="AP2" s="98" t="s">
        <v>142</v>
      </c>
      <c r="AQ2" s="98" t="s">
        <v>143</v>
      </c>
      <c r="AR2" s="98" t="s">
        <v>146</v>
      </c>
      <c r="AS2" s="98" t="s">
        <v>149</v>
      </c>
      <c r="AT2" s="98" t="s">
        <v>151</v>
      </c>
      <c r="AU2" s="98" t="s">
        <v>154</v>
      </c>
      <c r="AV2" s="98" t="s">
        <v>157</v>
      </c>
      <c r="AW2" s="98" t="s">
        <v>160</v>
      </c>
      <c r="AX2" s="98" t="s">
        <v>163</v>
      </c>
      <c r="AY2" s="98" t="s">
        <v>166</v>
      </c>
      <c r="AZ2" s="98" t="s">
        <v>169</v>
      </c>
      <c r="BA2" s="98" t="s">
        <v>171</v>
      </c>
      <c r="BB2" s="98" t="s">
        <v>174</v>
      </c>
      <c r="BC2" s="98" t="s">
        <v>177</v>
      </c>
      <c r="BD2" s="98" t="s">
        <v>180</v>
      </c>
      <c r="BE2" s="98" t="s">
        <v>182</v>
      </c>
      <c r="BF2" s="98" t="s">
        <v>185</v>
      </c>
      <c r="BG2" s="98" t="s">
        <v>188</v>
      </c>
      <c r="BH2" s="101" t="s">
        <v>351</v>
      </c>
      <c r="BI2" s="101" t="s">
        <v>352</v>
      </c>
      <c r="BJ2" s="102" t="s">
        <v>341</v>
      </c>
      <c r="BK2" s="102" t="s">
        <v>342</v>
      </c>
      <c r="BL2" s="102" t="s">
        <v>343</v>
      </c>
      <c r="BM2" s="102" t="s">
        <v>262</v>
      </c>
      <c r="BN2" s="102" t="s">
        <v>263</v>
      </c>
      <c r="BO2" s="102" t="s">
        <v>264</v>
      </c>
      <c r="BP2" s="102" t="s">
        <v>265</v>
      </c>
      <c r="BQ2" s="102" t="s">
        <v>266</v>
      </c>
      <c r="BR2" s="102" t="s">
        <v>267</v>
      </c>
      <c r="BS2" s="102" t="s">
        <v>268</v>
      </c>
      <c r="BT2" s="102" t="s">
        <v>269</v>
      </c>
      <c r="BU2" s="102" t="s">
        <v>270</v>
      </c>
      <c r="BV2" s="102" t="s">
        <v>271</v>
      </c>
      <c r="BW2" s="102" t="s">
        <v>272</v>
      </c>
      <c r="BX2" s="102" t="s">
        <v>309</v>
      </c>
    </row>
    <row r="3" spans="1:76" s="100" customFormat="1" ht="25.5" x14ac:dyDescent="0.2">
      <c r="A3" s="93" t="s">
        <v>359</v>
      </c>
      <c r="B3" s="361"/>
      <c r="C3" s="362"/>
      <c r="D3" s="363"/>
      <c r="E3" s="93" t="s">
        <v>261</v>
      </c>
      <c r="F3" s="367"/>
      <c r="G3" s="367"/>
      <c r="H3" s="367"/>
      <c r="I3" s="367"/>
      <c r="J3" s="367"/>
      <c r="K3" s="94"/>
      <c r="L3" s="366"/>
      <c r="M3" s="367"/>
      <c r="N3" s="367"/>
      <c r="O3" s="367"/>
      <c r="P3" s="367"/>
      <c r="Q3" s="367"/>
      <c r="R3" s="367"/>
    </row>
    <row r="4" spans="1:76" s="22" customFormat="1" ht="38.25" customHeight="1" x14ac:dyDescent="0.2">
      <c r="A4" s="93" t="s">
        <v>360</v>
      </c>
      <c r="B4" s="93" t="s">
        <v>358</v>
      </c>
      <c r="C4" s="93" t="s">
        <v>46</v>
      </c>
      <c r="D4" s="93" t="s">
        <v>375</v>
      </c>
      <c r="E4" s="358" t="s">
        <v>361</v>
      </c>
      <c r="F4" s="359"/>
      <c r="G4" s="93" t="s">
        <v>40</v>
      </c>
      <c r="H4" s="93" t="s">
        <v>362</v>
      </c>
      <c r="I4" s="93" t="s">
        <v>371</v>
      </c>
      <c r="J4" s="93" t="s">
        <v>8</v>
      </c>
      <c r="K4" s="93" t="s">
        <v>38</v>
      </c>
      <c r="L4" s="93" t="s">
        <v>9</v>
      </c>
      <c r="M4" s="93" t="s">
        <v>217</v>
      </c>
      <c r="N4" s="95" t="s">
        <v>49</v>
      </c>
      <c r="O4" s="93" t="s">
        <v>11</v>
      </c>
      <c r="P4" s="93" t="s">
        <v>12</v>
      </c>
      <c r="Q4" s="93" t="s">
        <v>209</v>
      </c>
      <c r="R4" s="93" t="s">
        <v>363</v>
      </c>
    </row>
    <row r="5" spans="1:76" s="132" customFormat="1" ht="42" customHeight="1" x14ac:dyDescent="0.25">
      <c r="A5" s="129"/>
      <c r="B5" s="129"/>
      <c r="C5" s="129"/>
      <c r="D5" s="130"/>
      <c r="E5" s="356"/>
      <c r="F5" s="357"/>
      <c r="G5" s="129"/>
      <c r="H5" s="129"/>
      <c r="I5" s="129"/>
      <c r="J5" s="129"/>
      <c r="K5" s="129"/>
      <c r="L5" s="129"/>
      <c r="M5" s="129"/>
      <c r="N5" s="131"/>
      <c r="O5" s="129"/>
      <c r="P5" s="129"/>
      <c r="Q5" s="130"/>
      <c r="R5" s="129"/>
      <c r="AB5" s="20"/>
      <c r="AC5" s="20"/>
      <c r="AD5" s="20"/>
      <c r="AE5" s="20"/>
      <c r="AF5" s="20"/>
      <c r="AG5" s="133"/>
      <c r="AH5" s="134"/>
      <c r="AI5" s="134"/>
      <c r="AJ5" s="134"/>
      <c r="AK5" s="134"/>
      <c r="AL5" s="134"/>
      <c r="AM5" s="134"/>
      <c r="AN5" s="134"/>
      <c r="AO5" s="134"/>
      <c r="AP5" s="134"/>
      <c r="AQ5" s="134"/>
      <c r="AR5" s="134"/>
      <c r="AS5" s="134"/>
      <c r="AT5" s="134"/>
      <c r="AU5" s="135"/>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row>
    <row r="6" spans="1:76" s="136" customFormat="1" ht="43.5" customHeight="1" x14ac:dyDescent="0.25">
      <c r="A6" s="129"/>
      <c r="B6" s="129"/>
      <c r="C6" s="129"/>
      <c r="D6" s="130"/>
      <c r="E6" s="356"/>
      <c r="F6" s="357"/>
      <c r="G6" s="129"/>
      <c r="H6" s="129"/>
      <c r="I6" s="129"/>
      <c r="J6" s="129"/>
      <c r="K6" s="129"/>
      <c r="L6" s="129"/>
      <c r="M6" s="129"/>
      <c r="N6" s="131"/>
      <c r="O6" s="129"/>
      <c r="P6" s="129"/>
      <c r="Q6" s="130"/>
      <c r="R6" s="129"/>
    </row>
    <row r="7" spans="1:76" s="136" customFormat="1" ht="30.75" customHeight="1" x14ac:dyDescent="0.25">
      <c r="A7" s="129"/>
      <c r="B7" s="129"/>
      <c r="C7" s="129"/>
      <c r="D7" s="129"/>
      <c r="E7" s="356"/>
      <c r="F7" s="357"/>
      <c r="G7" s="129"/>
      <c r="H7" s="129"/>
      <c r="I7" s="129"/>
      <c r="J7" s="129"/>
      <c r="K7" s="129"/>
      <c r="L7" s="129"/>
      <c r="M7" s="129"/>
      <c r="N7" s="131"/>
      <c r="O7" s="129"/>
      <c r="P7" s="129"/>
      <c r="Q7" s="129"/>
      <c r="R7" s="129"/>
    </row>
    <row r="8" spans="1:76" s="136" customFormat="1" ht="30" customHeight="1" x14ac:dyDescent="0.25">
      <c r="A8" s="129"/>
      <c r="B8" s="129"/>
      <c r="C8" s="129"/>
      <c r="D8" s="129"/>
      <c r="E8" s="356"/>
      <c r="F8" s="357"/>
      <c r="G8" s="129"/>
      <c r="H8" s="129"/>
      <c r="I8" s="129"/>
      <c r="J8" s="129"/>
      <c r="K8" s="129"/>
      <c r="L8" s="129"/>
      <c r="M8" s="129"/>
      <c r="N8" s="131"/>
      <c r="O8" s="129"/>
      <c r="P8" s="129"/>
      <c r="Q8" s="129"/>
      <c r="R8" s="129"/>
    </row>
    <row r="9" spans="1:76" s="136" customFormat="1" ht="30" customHeight="1" x14ac:dyDescent="0.25">
      <c r="A9" s="129"/>
      <c r="B9" s="129"/>
      <c r="C9" s="129"/>
      <c r="D9" s="129"/>
      <c r="E9" s="356"/>
      <c r="F9" s="357"/>
      <c r="G9" s="129"/>
      <c r="H9" s="129"/>
      <c r="I9" s="129"/>
      <c r="J9" s="129"/>
      <c r="K9" s="129"/>
      <c r="L9" s="129"/>
      <c r="M9" s="129"/>
      <c r="N9" s="131"/>
      <c r="O9" s="129"/>
      <c r="P9" s="129"/>
      <c r="Q9" s="129"/>
      <c r="R9" s="129"/>
    </row>
    <row r="10" spans="1:76" s="136" customFormat="1" ht="29.25" customHeight="1" x14ac:dyDescent="0.25">
      <c r="A10" s="129"/>
      <c r="B10" s="129"/>
      <c r="C10" s="129"/>
      <c r="D10" s="129"/>
      <c r="E10" s="356"/>
      <c r="F10" s="357"/>
      <c r="G10" s="129"/>
      <c r="H10" s="129"/>
      <c r="I10" s="129"/>
      <c r="J10" s="129"/>
      <c r="K10" s="129"/>
      <c r="L10" s="129"/>
      <c r="M10" s="129"/>
      <c r="N10" s="131"/>
      <c r="O10" s="129"/>
      <c r="P10" s="129"/>
      <c r="Q10" s="129"/>
      <c r="R10" s="129"/>
    </row>
    <row r="11" spans="1:76" s="136" customFormat="1" ht="29.25" customHeight="1" x14ac:dyDescent="0.25">
      <c r="A11" s="129"/>
      <c r="B11" s="129"/>
      <c r="C11" s="129"/>
      <c r="D11" s="129"/>
      <c r="E11" s="356"/>
      <c r="F11" s="357"/>
      <c r="G11" s="129"/>
      <c r="H11" s="129"/>
      <c r="I11" s="129"/>
      <c r="J11" s="129"/>
      <c r="K11" s="129"/>
      <c r="L11" s="129"/>
      <c r="M11" s="129"/>
      <c r="N11" s="131"/>
      <c r="O11" s="129"/>
      <c r="P11" s="129"/>
      <c r="Q11" s="129"/>
      <c r="R11" s="129"/>
    </row>
    <row r="12" spans="1:76" s="136" customFormat="1" ht="30" customHeight="1" x14ac:dyDescent="0.25">
      <c r="A12" s="129"/>
      <c r="B12" s="129"/>
      <c r="C12" s="129"/>
      <c r="D12" s="129"/>
      <c r="E12" s="356"/>
      <c r="F12" s="357"/>
      <c r="G12" s="129"/>
      <c r="H12" s="129"/>
      <c r="I12" s="129"/>
      <c r="J12" s="129"/>
      <c r="K12" s="129"/>
      <c r="L12" s="129"/>
      <c r="M12" s="129"/>
      <c r="N12" s="131"/>
      <c r="O12" s="129"/>
      <c r="P12" s="129"/>
      <c r="Q12" s="129"/>
      <c r="R12" s="129"/>
    </row>
    <row r="13" spans="1:76" s="136" customFormat="1" ht="33" customHeight="1" x14ac:dyDescent="0.25">
      <c r="A13" s="129"/>
      <c r="B13" s="129"/>
      <c r="C13" s="129"/>
      <c r="D13" s="129"/>
      <c r="E13" s="356"/>
      <c r="F13" s="357"/>
      <c r="G13" s="129"/>
      <c r="H13" s="129"/>
      <c r="I13" s="129"/>
      <c r="J13" s="129"/>
      <c r="K13" s="129"/>
      <c r="L13" s="129"/>
      <c r="M13" s="129"/>
      <c r="N13" s="131"/>
      <c r="O13" s="129"/>
      <c r="P13" s="129"/>
      <c r="Q13" s="129"/>
      <c r="R13" s="129"/>
    </row>
    <row r="14" spans="1:76" s="136" customFormat="1" ht="28.5" customHeight="1" x14ac:dyDescent="0.25">
      <c r="A14" s="129"/>
      <c r="B14" s="129"/>
      <c r="C14" s="129"/>
      <c r="D14" s="129"/>
      <c r="E14" s="356"/>
      <c r="F14" s="357"/>
      <c r="G14" s="129"/>
      <c r="H14" s="129"/>
      <c r="I14" s="129"/>
      <c r="J14" s="129"/>
      <c r="K14" s="129"/>
      <c r="L14" s="129"/>
      <c r="M14" s="129"/>
      <c r="N14" s="131"/>
      <c r="O14" s="129"/>
      <c r="P14" s="129"/>
      <c r="Q14" s="129"/>
      <c r="R14" s="129"/>
    </row>
    <row r="15" spans="1:76" s="136" customFormat="1" ht="29.25" customHeight="1" x14ac:dyDescent="0.25">
      <c r="A15" s="129"/>
      <c r="B15" s="129"/>
      <c r="C15" s="129"/>
      <c r="D15" s="129"/>
      <c r="E15" s="356"/>
      <c r="F15" s="357"/>
      <c r="G15" s="129"/>
      <c r="H15" s="129"/>
      <c r="I15" s="129"/>
      <c r="J15" s="129"/>
      <c r="K15" s="129"/>
      <c r="L15" s="129"/>
      <c r="M15" s="129"/>
      <c r="N15" s="131"/>
      <c r="O15" s="129"/>
      <c r="P15" s="129"/>
      <c r="Q15" s="129"/>
      <c r="R15" s="129"/>
    </row>
    <row r="16" spans="1:76" s="136" customFormat="1" ht="29.25" customHeight="1" x14ac:dyDescent="0.25">
      <c r="A16" s="129"/>
      <c r="B16" s="129"/>
      <c r="C16" s="129"/>
      <c r="D16" s="129"/>
      <c r="E16" s="356"/>
      <c r="F16" s="357"/>
      <c r="G16" s="129"/>
      <c r="H16" s="129"/>
      <c r="I16" s="129"/>
      <c r="J16" s="129"/>
      <c r="K16" s="129"/>
      <c r="L16" s="129"/>
      <c r="M16" s="129"/>
      <c r="N16" s="131"/>
      <c r="O16" s="129"/>
      <c r="P16" s="129"/>
      <c r="Q16" s="129"/>
      <c r="R16" s="129"/>
    </row>
    <row r="17" spans="1:18" s="136" customFormat="1" ht="15" x14ac:dyDescent="0.25">
      <c r="A17" s="129"/>
      <c r="B17" s="129"/>
      <c r="C17" s="129"/>
      <c r="D17" s="129"/>
      <c r="E17" s="356"/>
      <c r="F17" s="357"/>
      <c r="G17" s="129"/>
      <c r="H17" s="129"/>
      <c r="I17" s="129"/>
      <c r="J17" s="129"/>
      <c r="K17" s="129"/>
      <c r="L17" s="129"/>
      <c r="M17" s="129"/>
      <c r="N17" s="131"/>
      <c r="O17" s="129"/>
      <c r="P17" s="129"/>
      <c r="Q17" s="129"/>
      <c r="R17" s="129"/>
    </row>
  </sheetData>
  <mergeCells count="21">
    <mergeCell ref="A1:R1"/>
    <mergeCell ref="B2:D2"/>
    <mergeCell ref="F2:J2"/>
    <mergeCell ref="L2:R2"/>
    <mergeCell ref="B3:D3"/>
    <mergeCell ref="L3:R3"/>
    <mergeCell ref="F3:J3"/>
    <mergeCell ref="E17:F17"/>
    <mergeCell ref="E4:F4"/>
    <mergeCell ref="E8:F8"/>
    <mergeCell ref="E9:F9"/>
    <mergeCell ref="E14:F14"/>
    <mergeCell ref="E15:F15"/>
    <mergeCell ref="E13:F13"/>
    <mergeCell ref="E7:F7"/>
    <mergeCell ref="E16:F16"/>
    <mergeCell ref="E10:F10"/>
    <mergeCell ref="E12:F12"/>
    <mergeCell ref="E5:F5"/>
    <mergeCell ref="E6:F6"/>
    <mergeCell ref="E11:F11"/>
  </mergeCells>
  <phoneticPr fontId="0" type="noConversion"/>
  <dataValidations count="6">
    <dataValidation type="list" allowBlank="1" showInputMessage="1" showErrorMessage="1" sqref="K5:K17">
      <formula1>"Fatal,Serious,Minor,Cosmetic"</formula1>
    </dataValidation>
    <dataValidation type="list" allowBlank="1" showInputMessage="1" showErrorMessage="1" sqref="L5:L17">
      <formula1>"CO,OV,UN,RW,TR,TC,SC,O"</formula1>
    </dataValidation>
    <dataValidation type="list" allowBlank="1" showInputMessage="1" showErrorMessage="1" sqref="P5:P17">
      <formula1>"Open,Fixed,Fixed and Closed,Rejected"</formula1>
    </dataValidation>
    <dataValidation type="list" allowBlank="1" showInputMessage="1" showErrorMessage="1" sqref="J5:J17">
      <formula1>"AI,AM,BC,BLT,CH,CON,DC,DO,HAC,ID,IM,IN,INU,LC,LD,LF,MED,MFI,MS,OPE,PRC,PSC,REE,REL,RS,SE,SEQ,SHF,SOC,STR,TIS,WS,FRO,CFI,IMM,NS,CL,SG,O1-O11"</formula1>
    </dataValidation>
    <dataValidation type="list" allowBlank="1" showInputMessage="1" showErrorMessage="1" sqref="B5:B17">
      <formula1>"Unit Testing,Integration testing,Hardware Module Testing,System testing,Validation Testing"</formula1>
    </dataValidation>
    <dataValidation type="list" allowBlank="1" showInputMessage="1" showErrorMessage="1" sqref="M5:M17">
      <formula1>"REQ,HLD,HWD/MechD/DFMEA,DLD/SWD,SCH,BOM,CMP,LIB,PCB,CO,UTPC,ITPC,MTP,VTP,STP"</formula1>
    </dataValidation>
  </dataValidations>
  <printOptions horizontalCentered="1" verticalCentered="1"/>
  <pageMargins left="0.75" right="0.75" top="1.25" bottom="1" header="0.75" footer="0.5"/>
  <pageSetup scale="53" orientation="landscape" horizontalDpi="4294967292" verticalDpi="300" r:id="rId1"/>
  <headerFooter alignWithMargins="0"/>
  <legacy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81"/>
  <sheetViews>
    <sheetView view="pageBreakPreview" zoomScaleNormal="75" workbookViewId="0">
      <selection activeCell="A2" sqref="A2:C2"/>
    </sheetView>
  </sheetViews>
  <sheetFormatPr defaultRowHeight="12.75" x14ac:dyDescent="0.2"/>
  <cols>
    <col min="1" max="1" width="9.140625" style="34"/>
    <col min="2" max="2" width="37.42578125" style="69" customWidth="1"/>
    <col min="3" max="3" width="97.7109375" style="34" customWidth="1"/>
    <col min="4" max="23" width="9.140625" style="33"/>
    <col min="24" max="16384" width="9.140625" style="34"/>
  </cols>
  <sheetData>
    <row r="1" spans="1:23" ht="18.75" thickBot="1" x14ac:dyDescent="0.3">
      <c r="A1" s="368" t="s">
        <v>34</v>
      </c>
      <c r="B1" s="369"/>
      <c r="C1" s="370"/>
    </row>
    <row r="2" spans="1:23" s="36" customFormat="1" ht="15" x14ac:dyDescent="0.2">
      <c r="A2" s="371" t="s">
        <v>33</v>
      </c>
      <c r="B2" s="372"/>
      <c r="C2" s="373"/>
      <c r="D2" s="35"/>
      <c r="E2" s="35"/>
      <c r="F2" s="35"/>
      <c r="G2" s="35"/>
      <c r="H2" s="35"/>
      <c r="I2" s="35"/>
      <c r="J2" s="35"/>
      <c r="K2" s="35"/>
      <c r="L2" s="35"/>
      <c r="M2" s="35"/>
      <c r="N2" s="35"/>
      <c r="O2" s="35"/>
      <c r="P2" s="35"/>
      <c r="Q2" s="35"/>
      <c r="R2" s="35"/>
      <c r="S2" s="35"/>
      <c r="T2" s="35"/>
      <c r="U2" s="35"/>
      <c r="V2" s="35"/>
      <c r="W2" s="35"/>
    </row>
    <row r="3" spans="1:23" s="36" customFormat="1" ht="15" x14ac:dyDescent="0.2">
      <c r="A3" s="55" t="s">
        <v>23</v>
      </c>
      <c r="B3" s="88" t="s">
        <v>274</v>
      </c>
      <c r="C3" s="56" t="s">
        <v>24</v>
      </c>
      <c r="D3" s="35"/>
      <c r="E3" s="35"/>
      <c r="F3" s="35"/>
      <c r="G3" s="35"/>
      <c r="H3" s="35"/>
      <c r="I3" s="35"/>
      <c r="J3" s="35"/>
      <c r="K3" s="35"/>
      <c r="L3" s="35"/>
      <c r="M3" s="35"/>
      <c r="N3" s="35"/>
      <c r="O3" s="35"/>
      <c r="P3" s="35"/>
      <c r="Q3" s="35"/>
      <c r="R3" s="35"/>
      <c r="S3" s="35"/>
      <c r="T3" s="35"/>
      <c r="U3" s="35"/>
      <c r="V3" s="35"/>
      <c r="W3" s="35"/>
    </row>
    <row r="4" spans="1:23" ht="102" x14ac:dyDescent="0.2">
      <c r="A4" s="57">
        <v>1</v>
      </c>
      <c r="B4" s="87" t="s">
        <v>331</v>
      </c>
      <c r="C4" s="50" t="s">
        <v>327</v>
      </c>
    </row>
    <row r="5" spans="1:23" x14ac:dyDescent="0.2">
      <c r="A5" s="57">
        <v>2</v>
      </c>
      <c r="B5" s="58" t="s">
        <v>45</v>
      </c>
      <c r="C5" s="59" t="s">
        <v>50</v>
      </c>
    </row>
    <row r="6" spans="1:23" x14ac:dyDescent="0.2">
      <c r="A6" s="57">
        <v>3</v>
      </c>
      <c r="B6" s="58" t="s">
        <v>7</v>
      </c>
      <c r="C6" s="59" t="s">
        <v>51</v>
      </c>
    </row>
    <row r="7" spans="1:23" ht="25.5" x14ac:dyDescent="0.2">
      <c r="A7" s="57">
        <v>4</v>
      </c>
      <c r="B7" s="58" t="s">
        <v>42</v>
      </c>
      <c r="C7" s="59" t="s">
        <v>52</v>
      </c>
    </row>
    <row r="8" spans="1:23" ht="25.5" x14ac:dyDescent="0.2">
      <c r="A8" s="57">
        <v>5</v>
      </c>
      <c r="B8" s="58" t="s">
        <v>41</v>
      </c>
      <c r="C8" s="59" t="s">
        <v>339</v>
      </c>
    </row>
    <row r="9" spans="1:23" x14ac:dyDescent="0.2">
      <c r="A9" s="57">
        <v>6</v>
      </c>
      <c r="B9" s="87" t="s">
        <v>22</v>
      </c>
      <c r="C9" s="60" t="s">
        <v>53</v>
      </c>
    </row>
    <row r="10" spans="1:23" x14ac:dyDescent="0.2">
      <c r="A10" s="57">
        <v>7</v>
      </c>
      <c r="B10" s="58" t="s">
        <v>48</v>
      </c>
      <c r="C10" s="59" t="s">
        <v>54</v>
      </c>
    </row>
    <row r="11" spans="1:23" ht="25.5" x14ac:dyDescent="0.2">
      <c r="A11" s="57">
        <v>8</v>
      </c>
      <c r="B11" s="58" t="s">
        <v>28</v>
      </c>
      <c r="C11" s="59" t="s">
        <v>340</v>
      </c>
    </row>
    <row r="12" spans="1:23" x14ac:dyDescent="0.2">
      <c r="A12" s="57">
        <v>9</v>
      </c>
      <c r="B12" s="58" t="s">
        <v>29</v>
      </c>
      <c r="C12" s="59" t="s">
        <v>55</v>
      </c>
    </row>
    <row r="13" spans="1:23" x14ac:dyDescent="0.2">
      <c r="A13" s="57">
        <v>10</v>
      </c>
      <c r="B13" s="58" t="s">
        <v>15</v>
      </c>
      <c r="C13" s="59" t="s">
        <v>56</v>
      </c>
    </row>
    <row r="14" spans="1:23" x14ac:dyDescent="0.2">
      <c r="A14" s="57">
        <v>11</v>
      </c>
      <c r="B14" s="58" t="s">
        <v>78</v>
      </c>
      <c r="C14" s="59" t="s">
        <v>79</v>
      </c>
    </row>
    <row r="15" spans="1:23" ht="25.5" x14ac:dyDescent="0.2">
      <c r="A15" s="57">
        <v>12</v>
      </c>
      <c r="B15" s="58" t="s">
        <v>14</v>
      </c>
      <c r="C15" s="59" t="s">
        <v>312</v>
      </c>
    </row>
    <row r="16" spans="1:23" x14ac:dyDescent="0.2">
      <c r="A16" s="57">
        <v>13</v>
      </c>
      <c r="B16" s="58" t="s">
        <v>335</v>
      </c>
      <c r="C16" s="59" t="s">
        <v>336</v>
      </c>
    </row>
    <row r="17" spans="1:3" x14ac:dyDescent="0.2">
      <c r="A17" s="57">
        <v>14</v>
      </c>
      <c r="B17" s="58" t="s">
        <v>46</v>
      </c>
      <c r="C17" s="59" t="s">
        <v>224</v>
      </c>
    </row>
    <row r="18" spans="1:3" x14ac:dyDescent="0.2">
      <c r="A18" s="57">
        <v>15</v>
      </c>
      <c r="B18" s="87" t="s">
        <v>214</v>
      </c>
      <c r="C18" s="59" t="s">
        <v>281</v>
      </c>
    </row>
    <row r="19" spans="1:3" x14ac:dyDescent="0.2">
      <c r="A19" s="57">
        <v>16</v>
      </c>
      <c r="B19" s="87" t="s">
        <v>26</v>
      </c>
      <c r="C19" s="59" t="s">
        <v>225</v>
      </c>
    </row>
    <row r="20" spans="1:3" x14ac:dyDescent="0.2">
      <c r="A20" s="57">
        <v>17</v>
      </c>
      <c r="B20" s="87" t="s">
        <v>17</v>
      </c>
      <c r="C20" s="61" t="s">
        <v>57</v>
      </c>
    </row>
    <row r="21" spans="1:3" x14ac:dyDescent="0.2">
      <c r="A21" s="57">
        <v>18</v>
      </c>
      <c r="B21" s="87" t="s">
        <v>215</v>
      </c>
      <c r="C21" s="61" t="s">
        <v>204</v>
      </c>
    </row>
    <row r="22" spans="1:3" ht="25.5" x14ac:dyDescent="0.2">
      <c r="A22" s="57">
        <v>19</v>
      </c>
      <c r="B22" s="87" t="s">
        <v>216</v>
      </c>
      <c r="C22" s="60" t="s">
        <v>337</v>
      </c>
    </row>
    <row r="23" spans="1:3" x14ac:dyDescent="0.2">
      <c r="A23" s="57">
        <v>20</v>
      </c>
      <c r="B23" s="87" t="s">
        <v>197</v>
      </c>
      <c r="C23" s="60" t="s">
        <v>205</v>
      </c>
    </row>
    <row r="24" spans="1:3" x14ac:dyDescent="0.2">
      <c r="A24" s="57">
        <v>21</v>
      </c>
      <c r="B24" s="87" t="s">
        <v>202</v>
      </c>
      <c r="C24" s="60" t="s">
        <v>338</v>
      </c>
    </row>
    <row r="25" spans="1:3" x14ac:dyDescent="0.2">
      <c r="A25" s="57">
        <v>22</v>
      </c>
      <c r="B25" s="87" t="s">
        <v>199</v>
      </c>
      <c r="C25" s="60" t="s">
        <v>206</v>
      </c>
    </row>
    <row r="26" spans="1:3" ht="114.75" x14ac:dyDescent="0.2">
      <c r="A26" s="57">
        <v>23</v>
      </c>
      <c r="B26" s="87" t="s">
        <v>198</v>
      </c>
      <c r="C26" s="60" t="s">
        <v>207</v>
      </c>
    </row>
    <row r="27" spans="1:3" x14ac:dyDescent="0.2">
      <c r="A27" s="57">
        <v>24</v>
      </c>
      <c r="B27" s="87" t="s">
        <v>18</v>
      </c>
      <c r="C27" s="60" t="s">
        <v>58</v>
      </c>
    </row>
    <row r="28" spans="1:3" x14ac:dyDescent="0.2">
      <c r="A28" s="57">
        <v>25</v>
      </c>
      <c r="B28" s="87" t="s">
        <v>203</v>
      </c>
      <c r="C28" s="60" t="s">
        <v>208</v>
      </c>
    </row>
    <row r="29" spans="1:3" x14ac:dyDescent="0.2">
      <c r="A29" s="57">
        <v>26</v>
      </c>
      <c r="B29" s="87" t="s">
        <v>285</v>
      </c>
      <c r="C29" s="60" t="s">
        <v>286</v>
      </c>
    </row>
    <row r="30" spans="1:3" x14ac:dyDescent="0.2">
      <c r="A30" s="57">
        <v>27</v>
      </c>
      <c r="B30" s="87" t="s">
        <v>39</v>
      </c>
      <c r="C30" s="60" t="s">
        <v>61</v>
      </c>
    </row>
    <row r="31" spans="1:3" x14ac:dyDescent="0.2">
      <c r="A31" s="57">
        <v>28</v>
      </c>
      <c r="B31" s="87" t="s">
        <v>20</v>
      </c>
      <c r="C31" s="60" t="s">
        <v>59</v>
      </c>
    </row>
    <row r="32" spans="1:3" x14ac:dyDescent="0.2">
      <c r="A32" s="57">
        <v>29</v>
      </c>
      <c r="B32" s="87" t="s">
        <v>21</v>
      </c>
      <c r="C32" s="60" t="s">
        <v>60</v>
      </c>
    </row>
    <row r="33" spans="1:3" ht="63.75" x14ac:dyDescent="0.2">
      <c r="A33" s="57">
        <v>30</v>
      </c>
      <c r="B33" s="87" t="s">
        <v>40</v>
      </c>
      <c r="C33" s="60" t="s">
        <v>62</v>
      </c>
    </row>
    <row r="34" spans="1:3" x14ac:dyDescent="0.2">
      <c r="A34" s="57">
        <v>31</v>
      </c>
      <c r="B34" s="87" t="s">
        <v>19</v>
      </c>
      <c r="C34" s="62" t="s">
        <v>63</v>
      </c>
    </row>
    <row r="35" spans="1:3" ht="51" x14ac:dyDescent="0.2">
      <c r="A35" s="57">
        <v>32</v>
      </c>
      <c r="B35" s="87" t="s">
        <v>66</v>
      </c>
      <c r="C35" s="63" t="s">
        <v>64</v>
      </c>
    </row>
    <row r="36" spans="1:3" x14ac:dyDescent="0.2">
      <c r="A36" s="57">
        <v>33</v>
      </c>
      <c r="B36" s="87" t="s">
        <v>219</v>
      </c>
      <c r="C36" s="63" t="s">
        <v>220</v>
      </c>
    </row>
    <row r="37" spans="1:3" x14ac:dyDescent="0.2">
      <c r="A37" s="57">
        <v>34</v>
      </c>
      <c r="B37" s="64" t="s">
        <v>44</v>
      </c>
      <c r="C37" s="63" t="s">
        <v>67</v>
      </c>
    </row>
    <row r="38" spans="1:3" ht="25.5" x14ac:dyDescent="0.2">
      <c r="A38" s="57">
        <v>35</v>
      </c>
      <c r="B38" s="65" t="s">
        <v>313</v>
      </c>
      <c r="C38" s="60" t="s">
        <v>68</v>
      </c>
    </row>
    <row r="39" spans="1:3" x14ac:dyDescent="0.2">
      <c r="A39" s="57">
        <v>36</v>
      </c>
      <c r="B39" s="58" t="s">
        <v>13</v>
      </c>
      <c r="C39" s="60" t="s">
        <v>70</v>
      </c>
    </row>
    <row r="40" spans="1:3" x14ac:dyDescent="0.2">
      <c r="A40" s="57">
        <v>37</v>
      </c>
      <c r="B40" s="64" t="s">
        <v>69</v>
      </c>
      <c r="C40" s="60" t="s">
        <v>71</v>
      </c>
    </row>
    <row r="41" spans="1:3" ht="25.5" x14ac:dyDescent="0.2">
      <c r="A41" s="57">
        <v>38</v>
      </c>
      <c r="B41" s="64" t="s">
        <v>25</v>
      </c>
      <c r="C41" s="59" t="s">
        <v>72</v>
      </c>
    </row>
    <row r="42" spans="1:3" ht="28.5" customHeight="1" x14ac:dyDescent="0.2">
      <c r="A42" s="89" t="s">
        <v>332</v>
      </c>
      <c r="B42" s="376" t="s">
        <v>333</v>
      </c>
      <c r="C42" s="377"/>
    </row>
    <row r="43" spans="1:3" x14ac:dyDescent="0.2">
      <c r="A43" s="374">
        <f>'Cover Sheet'!E10</f>
        <v>0</v>
      </c>
      <c r="B43" s="375"/>
      <c r="C43" s="375"/>
    </row>
    <row r="44" spans="1:3" x14ac:dyDescent="0.2">
      <c r="A44" s="66"/>
      <c r="B44" s="67"/>
      <c r="C44" s="66"/>
    </row>
    <row r="45" spans="1:3" x14ac:dyDescent="0.2">
      <c r="A45" s="66"/>
      <c r="B45" s="67"/>
      <c r="C45" s="66"/>
    </row>
    <row r="46" spans="1:3" x14ac:dyDescent="0.2">
      <c r="A46" s="66"/>
      <c r="B46" s="67"/>
      <c r="C46" s="66"/>
    </row>
    <row r="47" spans="1:3" x14ac:dyDescent="0.2">
      <c r="A47" s="66"/>
      <c r="B47" s="67"/>
      <c r="C47" s="66"/>
    </row>
    <row r="48" spans="1:3" x14ac:dyDescent="0.2">
      <c r="A48" s="66"/>
      <c r="B48" s="67"/>
      <c r="C48" s="66"/>
    </row>
    <row r="49" spans="1:3" x14ac:dyDescent="0.2">
      <c r="A49" s="66"/>
      <c r="B49" s="67"/>
      <c r="C49" s="66"/>
    </row>
    <row r="50" spans="1:3" x14ac:dyDescent="0.2">
      <c r="A50" s="66"/>
      <c r="B50" s="67"/>
      <c r="C50" s="66"/>
    </row>
    <row r="51" spans="1:3" x14ac:dyDescent="0.2">
      <c r="A51" s="33"/>
      <c r="B51" s="68"/>
      <c r="C51" s="33"/>
    </row>
    <row r="52" spans="1:3" s="33" customFormat="1" x14ac:dyDescent="0.2">
      <c r="B52" s="68"/>
    </row>
    <row r="53" spans="1:3" s="33" customFormat="1" x14ac:dyDescent="0.2">
      <c r="B53" s="68"/>
    </row>
    <row r="54" spans="1:3" s="33" customFormat="1" x14ac:dyDescent="0.2">
      <c r="B54" s="68"/>
    </row>
    <row r="55" spans="1:3" s="33" customFormat="1" x14ac:dyDescent="0.2">
      <c r="B55" s="68"/>
    </row>
    <row r="56" spans="1:3" s="33" customFormat="1" x14ac:dyDescent="0.2">
      <c r="B56" s="68"/>
    </row>
    <row r="57" spans="1:3" s="33" customFormat="1" x14ac:dyDescent="0.2">
      <c r="B57" s="68"/>
    </row>
    <row r="58" spans="1:3" s="33" customFormat="1" x14ac:dyDescent="0.2">
      <c r="B58" s="68"/>
    </row>
    <row r="59" spans="1:3" s="33" customFormat="1" x14ac:dyDescent="0.2">
      <c r="B59" s="68"/>
    </row>
    <row r="60" spans="1:3" s="33" customFormat="1" x14ac:dyDescent="0.2">
      <c r="B60" s="68"/>
    </row>
    <row r="61" spans="1:3" s="33" customFormat="1" x14ac:dyDescent="0.2">
      <c r="B61" s="68"/>
    </row>
    <row r="62" spans="1:3" s="33" customFormat="1" x14ac:dyDescent="0.2">
      <c r="B62" s="68"/>
    </row>
    <row r="63" spans="1:3" s="33" customFormat="1" x14ac:dyDescent="0.2">
      <c r="B63" s="68"/>
    </row>
    <row r="64" spans="1:3" s="33" customFormat="1" x14ac:dyDescent="0.2">
      <c r="B64" s="68"/>
    </row>
    <row r="65" spans="2:2" s="33" customFormat="1" x14ac:dyDescent="0.2">
      <c r="B65" s="68"/>
    </row>
    <row r="66" spans="2:2" s="33" customFormat="1" x14ac:dyDescent="0.2">
      <c r="B66" s="68"/>
    </row>
    <row r="67" spans="2:2" s="33" customFormat="1" x14ac:dyDescent="0.2">
      <c r="B67" s="68"/>
    </row>
    <row r="68" spans="2:2" s="33" customFormat="1" x14ac:dyDescent="0.2">
      <c r="B68" s="68"/>
    </row>
    <row r="69" spans="2:2" s="33" customFormat="1" x14ac:dyDescent="0.2">
      <c r="B69" s="68"/>
    </row>
    <row r="70" spans="2:2" s="33" customFormat="1" x14ac:dyDescent="0.2">
      <c r="B70" s="68"/>
    </row>
    <row r="71" spans="2:2" s="33" customFormat="1" x14ac:dyDescent="0.2">
      <c r="B71" s="68"/>
    </row>
    <row r="72" spans="2:2" s="33" customFormat="1" x14ac:dyDescent="0.2">
      <c r="B72" s="68"/>
    </row>
    <row r="73" spans="2:2" s="33" customFormat="1" x14ac:dyDescent="0.2">
      <c r="B73" s="68"/>
    </row>
    <row r="74" spans="2:2" s="33" customFormat="1" x14ac:dyDescent="0.2">
      <c r="B74" s="68"/>
    </row>
    <row r="75" spans="2:2" s="33" customFormat="1" x14ac:dyDescent="0.2">
      <c r="B75" s="68"/>
    </row>
    <row r="76" spans="2:2" s="33" customFormat="1" x14ac:dyDescent="0.2">
      <c r="B76" s="68"/>
    </row>
    <row r="77" spans="2:2" s="33" customFormat="1" x14ac:dyDescent="0.2">
      <c r="B77" s="68"/>
    </row>
    <row r="78" spans="2:2" s="33" customFormat="1" x14ac:dyDescent="0.2">
      <c r="B78" s="68"/>
    </row>
    <row r="79" spans="2:2" s="33" customFormat="1" x14ac:dyDescent="0.2">
      <c r="B79" s="68"/>
    </row>
    <row r="80" spans="2:2" s="33" customFormat="1" x14ac:dyDescent="0.2">
      <c r="B80" s="68"/>
    </row>
    <row r="81" spans="1:3" x14ac:dyDescent="0.2">
      <c r="A81" s="33"/>
      <c r="B81" s="68"/>
      <c r="C81" s="33"/>
    </row>
  </sheetData>
  <sheetProtection algorithmName="SHA-512" hashValue="kc7xRU5P9GxS6uob4yX23aV6D8el/Uc4MZd2wwwEYwipG6oxNlZycZ4y3OFd2yOO+j1N5PKrfO02c+UvX80LgQ==" saltValue="uX4WLE2RatsG9+JHMIjS+A==" spinCount="100000" sheet="1" objects="1" scenarios="1" selectLockedCells="1" selectUnlockedCells="1"/>
  <mergeCells count="4">
    <mergeCell ref="A1:C1"/>
    <mergeCell ref="A2:C2"/>
    <mergeCell ref="A43:C43"/>
    <mergeCell ref="B42:C42"/>
  </mergeCells>
  <phoneticPr fontId="0" type="noConversion"/>
  <printOptions horizontalCentered="1" verticalCentered="1"/>
  <pageMargins left="0.75" right="0.75" top="1.25" bottom="1" header="0.75" footer="0.5"/>
  <pageSetup scale="57" orientation="landscape" horizontalDpi="4294967292" verticalDpi="300" r:id="rId1"/>
  <headerFooter alignWithMargins="0"/>
  <colBreaks count="1" manualBreakCount="1">
    <brk id="3" max="38" man="1"/>
  </colBreaks>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86"/>
  <sheetViews>
    <sheetView view="pageBreakPreview" zoomScale="75" zoomScaleNormal="75" zoomScaleSheetLayoutView="75" workbookViewId="0">
      <selection activeCell="A2" sqref="A2:C2"/>
    </sheetView>
  </sheetViews>
  <sheetFormatPr defaultRowHeight="12.75" x14ac:dyDescent="0.2"/>
  <cols>
    <col min="1" max="1" width="31.42578125" style="36" customWidth="1"/>
    <col min="2" max="2" width="21.28515625" style="36" customWidth="1"/>
    <col min="3" max="3" width="67.140625" style="36" customWidth="1"/>
    <col min="4" max="16384" width="9.140625" style="36"/>
  </cols>
  <sheetData>
    <row r="1" spans="1:3" ht="18.75" thickBot="1" x14ac:dyDescent="0.3">
      <c r="A1" s="368" t="s">
        <v>376</v>
      </c>
      <c r="B1" s="369"/>
      <c r="C1" s="370"/>
    </row>
    <row r="2" spans="1:3" ht="162.75" customHeight="1" x14ac:dyDescent="0.25">
      <c r="A2" s="393" t="s">
        <v>322</v>
      </c>
      <c r="B2" s="394"/>
      <c r="C2" s="394"/>
    </row>
    <row r="3" spans="1:3" ht="15" x14ac:dyDescent="0.2">
      <c r="A3" s="390" t="s">
        <v>274</v>
      </c>
      <c r="B3" s="390"/>
      <c r="C3" s="40" t="s">
        <v>24</v>
      </c>
    </row>
    <row r="4" spans="1:3" ht="47.25" customHeight="1" x14ac:dyDescent="0.2">
      <c r="A4" s="389" t="s">
        <v>282</v>
      </c>
      <c r="B4" s="389"/>
      <c r="C4" s="41" t="s">
        <v>50</v>
      </c>
    </row>
    <row r="5" spans="1:3" x14ac:dyDescent="0.2">
      <c r="A5" s="380" t="s">
        <v>7</v>
      </c>
      <c r="B5" s="380"/>
      <c r="C5" s="42" t="s">
        <v>74</v>
      </c>
    </row>
    <row r="6" spans="1:3" x14ac:dyDescent="0.2">
      <c r="A6" s="389" t="s">
        <v>306</v>
      </c>
      <c r="B6" s="389"/>
      <c r="C6" s="42" t="s">
        <v>364</v>
      </c>
    </row>
    <row r="7" spans="1:3" ht="25.5" x14ac:dyDescent="0.2">
      <c r="A7" s="389" t="s">
        <v>323</v>
      </c>
      <c r="B7" s="389"/>
      <c r="C7" s="42" t="s">
        <v>73</v>
      </c>
    </row>
    <row r="8" spans="1:3" x14ac:dyDescent="0.2">
      <c r="A8" s="391" t="s">
        <v>365</v>
      </c>
      <c r="B8" s="392"/>
      <c r="C8" s="42" t="s">
        <v>368</v>
      </c>
    </row>
    <row r="9" spans="1:3" x14ac:dyDescent="0.2">
      <c r="A9" s="391" t="s">
        <v>366</v>
      </c>
      <c r="B9" s="392"/>
      <c r="C9" s="42" t="s">
        <v>367</v>
      </c>
    </row>
    <row r="10" spans="1:3" ht="38.25" x14ac:dyDescent="0.2">
      <c r="A10" s="380" t="s">
        <v>16</v>
      </c>
      <c r="B10" s="380"/>
      <c r="C10" s="43" t="s">
        <v>75</v>
      </c>
    </row>
    <row r="11" spans="1:3" x14ac:dyDescent="0.2">
      <c r="A11" s="378" t="s">
        <v>375</v>
      </c>
      <c r="B11" s="379"/>
      <c r="C11" s="43" t="s">
        <v>374</v>
      </c>
    </row>
    <row r="12" spans="1:3" ht="25.5" x14ac:dyDescent="0.2">
      <c r="A12" s="380" t="s">
        <v>361</v>
      </c>
      <c r="B12" s="380"/>
      <c r="C12" s="43" t="s">
        <v>283</v>
      </c>
    </row>
    <row r="13" spans="1:3" ht="102" x14ac:dyDescent="0.2">
      <c r="A13" s="380" t="s">
        <v>38</v>
      </c>
      <c r="B13" s="380"/>
      <c r="C13" s="43" t="s">
        <v>218</v>
      </c>
    </row>
    <row r="14" spans="1:3" ht="409.5" x14ac:dyDescent="0.2">
      <c r="A14" s="378" t="s">
        <v>8</v>
      </c>
      <c r="B14" s="379"/>
      <c r="C14" s="44" t="s">
        <v>353</v>
      </c>
    </row>
    <row r="15" spans="1:3" ht="114.75" x14ac:dyDescent="0.2">
      <c r="A15" s="378" t="s">
        <v>9</v>
      </c>
      <c r="B15" s="379"/>
      <c r="C15" s="43" t="s">
        <v>328</v>
      </c>
    </row>
    <row r="16" spans="1:3" x14ac:dyDescent="0.2">
      <c r="A16" s="378" t="s">
        <v>40</v>
      </c>
      <c r="B16" s="379"/>
      <c r="C16" s="43" t="s">
        <v>210</v>
      </c>
    </row>
    <row r="17" spans="1:3" x14ac:dyDescent="0.2">
      <c r="A17" s="378" t="s">
        <v>10</v>
      </c>
      <c r="B17" s="379"/>
      <c r="C17" s="43" t="s">
        <v>275</v>
      </c>
    </row>
    <row r="18" spans="1:3" ht="25.5" x14ac:dyDescent="0.2">
      <c r="A18" s="378" t="s">
        <v>372</v>
      </c>
      <c r="B18" s="379"/>
      <c r="C18" s="91" t="s">
        <v>369</v>
      </c>
    </row>
    <row r="19" spans="1:3" ht="51" customHeight="1" x14ac:dyDescent="0.2">
      <c r="A19" s="378" t="s">
        <v>217</v>
      </c>
      <c r="B19" s="379"/>
      <c r="C19" s="37" t="s">
        <v>260</v>
      </c>
    </row>
    <row r="20" spans="1:3" ht="38.25" x14ac:dyDescent="0.2">
      <c r="A20" s="378" t="s">
        <v>49</v>
      </c>
      <c r="B20" s="379"/>
      <c r="C20" s="43" t="s">
        <v>76</v>
      </c>
    </row>
    <row r="21" spans="1:3" x14ac:dyDescent="0.2">
      <c r="A21" s="378" t="s">
        <v>11</v>
      </c>
      <c r="B21" s="379"/>
      <c r="C21" s="43" t="s">
        <v>77</v>
      </c>
    </row>
    <row r="22" spans="1:3" ht="114.75" x14ac:dyDescent="0.2">
      <c r="A22" s="380" t="s">
        <v>12</v>
      </c>
      <c r="B22" s="380"/>
      <c r="C22" s="43" t="s">
        <v>326</v>
      </c>
    </row>
    <row r="23" spans="1:3" x14ac:dyDescent="0.2">
      <c r="A23" s="380" t="s">
        <v>222</v>
      </c>
      <c r="B23" s="380"/>
      <c r="C23" s="43" t="s">
        <v>223</v>
      </c>
    </row>
    <row r="24" spans="1:3" ht="13.5" thickBot="1" x14ac:dyDescent="0.25">
      <c r="A24" s="380" t="s">
        <v>221</v>
      </c>
      <c r="B24" s="380"/>
      <c r="C24" s="45" t="s">
        <v>220</v>
      </c>
    </row>
    <row r="25" spans="1:3" ht="18.75" thickBot="1" x14ac:dyDescent="0.25">
      <c r="A25" s="381" t="s">
        <v>212</v>
      </c>
      <c r="B25" s="382"/>
      <c r="C25" s="383"/>
    </row>
    <row r="26" spans="1:3" ht="15" x14ac:dyDescent="0.2">
      <c r="A26" s="46" t="s">
        <v>82</v>
      </c>
      <c r="B26" s="46" t="s">
        <v>83</v>
      </c>
      <c r="C26" s="47" t="s">
        <v>24</v>
      </c>
    </row>
    <row r="27" spans="1:3" x14ac:dyDescent="0.2">
      <c r="A27" s="48" t="s">
        <v>84</v>
      </c>
      <c r="B27" s="48" t="s">
        <v>85</v>
      </c>
      <c r="C27" s="49" t="s">
        <v>86</v>
      </c>
    </row>
    <row r="28" spans="1:3" ht="25.5" x14ac:dyDescent="0.2">
      <c r="A28" s="48" t="s">
        <v>87</v>
      </c>
      <c r="B28" s="48" t="s">
        <v>88</v>
      </c>
      <c r="C28" s="49" t="s">
        <v>89</v>
      </c>
    </row>
    <row r="29" spans="1:3" ht="25.5" x14ac:dyDescent="0.2">
      <c r="A29" s="48" t="s">
        <v>90</v>
      </c>
      <c r="B29" s="48" t="s">
        <v>91</v>
      </c>
      <c r="C29" s="49" t="s">
        <v>92</v>
      </c>
    </row>
    <row r="30" spans="1:3" ht="25.5" x14ac:dyDescent="0.2">
      <c r="A30" s="48" t="s">
        <v>93</v>
      </c>
      <c r="B30" s="48" t="s">
        <v>94</v>
      </c>
      <c r="C30" s="49" t="s">
        <v>95</v>
      </c>
    </row>
    <row r="31" spans="1:3" x14ac:dyDescent="0.2">
      <c r="A31" s="48" t="s">
        <v>96</v>
      </c>
      <c r="B31" s="48" t="s">
        <v>97</v>
      </c>
      <c r="C31" s="49" t="s">
        <v>98</v>
      </c>
    </row>
    <row r="32" spans="1:3" ht="25.5" x14ac:dyDescent="0.2">
      <c r="A32" s="48" t="s">
        <v>99</v>
      </c>
      <c r="B32" s="48" t="s">
        <v>100</v>
      </c>
      <c r="C32" s="49" t="s">
        <v>101</v>
      </c>
    </row>
    <row r="33" spans="1:3" ht="25.5" x14ac:dyDescent="0.2">
      <c r="A33" s="48" t="s">
        <v>102</v>
      </c>
      <c r="B33" s="84" t="s">
        <v>330</v>
      </c>
      <c r="C33" s="50" t="s">
        <v>329</v>
      </c>
    </row>
    <row r="34" spans="1:3" ht="35.25" customHeight="1" thickBot="1" x14ac:dyDescent="0.25">
      <c r="A34" s="48" t="s">
        <v>273</v>
      </c>
      <c r="B34" s="48" t="s">
        <v>103</v>
      </c>
      <c r="C34" s="50" t="s">
        <v>314</v>
      </c>
    </row>
    <row r="35" spans="1:3" ht="35.25" customHeight="1" thickBot="1" x14ac:dyDescent="0.25">
      <c r="A35" s="384" t="s">
        <v>211</v>
      </c>
      <c r="B35" s="385"/>
      <c r="C35" s="386"/>
    </row>
    <row r="36" spans="1:3" ht="15" x14ac:dyDescent="0.2">
      <c r="A36" s="85" t="s">
        <v>82</v>
      </c>
      <c r="B36" s="85" t="s">
        <v>104</v>
      </c>
      <c r="C36" s="51" t="s">
        <v>24</v>
      </c>
    </row>
    <row r="37" spans="1:3" ht="25.5" x14ac:dyDescent="0.2">
      <c r="A37" s="52" t="s">
        <v>105</v>
      </c>
      <c r="B37" s="53" t="s">
        <v>106</v>
      </c>
      <c r="C37" s="32" t="s">
        <v>107</v>
      </c>
    </row>
    <row r="38" spans="1:3" ht="25.5" x14ac:dyDescent="0.2">
      <c r="A38" s="52" t="s">
        <v>108</v>
      </c>
      <c r="B38" s="53" t="s">
        <v>109</v>
      </c>
      <c r="C38" s="32" t="s">
        <v>110</v>
      </c>
    </row>
    <row r="39" spans="1:3" ht="18" customHeight="1" x14ac:dyDescent="0.2">
      <c r="A39" s="52" t="s">
        <v>111</v>
      </c>
      <c r="B39" s="53" t="s">
        <v>112</v>
      </c>
      <c r="C39" s="32" t="s">
        <v>113</v>
      </c>
    </row>
    <row r="40" spans="1:3" ht="25.5" x14ac:dyDescent="0.2">
      <c r="A40" s="52" t="s">
        <v>114</v>
      </c>
      <c r="B40" s="53" t="s">
        <v>115</v>
      </c>
      <c r="C40" s="32" t="s">
        <v>276</v>
      </c>
    </row>
    <row r="41" spans="1:3" ht="25.5" x14ac:dyDescent="0.2">
      <c r="A41" s="52" t="s">
        <v>116</v>
      </c>
      <c r="B41" s="53" t="s">
        <v>117</v>
      </c>
      <c r="C41" s="32" t="s">
        <v>118</v>
      </c>
    </row>
    <row r="42" spans="1:3" x14ac:dyDescent="0.2">
      <c r="A42" s="52" t="s">
        <v>119</v>
      </c>
      <c r="B42" s="53" t="s">
        <v>120</v>
      </c>
      <c r="C42" s="32" t="s">
        <v>121</v>
      </c>
    </row>
    <row r="43" spans="1:3" ht="25.5" x14ac:dyDescent="0.2">
      <c r="A43" s="52" t="s">
        <v>122</v>
      </c>
      <c r="B43" s="53" t="s">
        <v>123</v>
      </c>
      <c r="C43" s="32" t="s">
        <v>124</v>
      </c>
    </row>
    <row r="44" spans="1:3" ht="25.5" x14ac:dyDescent="0.2">
      <c r="A44" s="52" t="s">
        <v>125</v>
      </c>
      <c r="B44" s="53" t="s">
        <v>126</v>
      </c>
      <c r="C44" s="49" t="s">
        <v>127</v>
      </c>
    </row>
    <row r="45" spans="1:3" ht="38.25" x14ac:dyDescent="0.2">
      <c r="A45" s="52" t="s">
        <v>128</v>
      </c>
      <c r="B45" s="53" t="s">
        <v>129</v>
      </c>
      <c r="C45" s="32" t="s">
        <v>130</v>
      </c>
    </row>
    <row r="46" spans="1:3" ht="25.5" x14ac:dyDescent="0.2">
      <c r="A46" s="52" t="s">
        <v>131</v>
      </c>
      <c r="B46" s="53" t="s">
        <v>132</v>
      </c>
      <c r="C46" s="32" t="s">
        <v>277</v>
      </c>
    </row>
    <row r="47" spans="1:3" ht="25.5" x14ac:dyDescent="0.2">
      <c r="A47" s="52" t="s">
        <v>133</v>
      </c>
      <c r="B47" s="53" t="s">
        <v>134</v>
      </c>
      <c r="C47" s="32" t="s">
        <v>135</v>
      </c>
    </row>
    <row r="48" spans="1:3" ht="40.5" customHeight="1" x14ac:dyDescent="0.2">
      <c r="A48" s="52" t="s">
        <v>136</v>
      </c>
      <c r="B48" s="53" t="s">
        <v>137</v>
      </c>
      <c r="C48" s="32" t="s">
        <v>315</v>
      </c>
    </row>
    <row r="49" spans="1:3" ht="25.5" x14ac:dyDescent="0.2">
      <c r="A49" s="52" t="s">
        <v>138</v>
      </c>
      <c r="B49" s="86" t="s">
        <v>316</v>
      </c>
      <c r="C49" s="32" t="s">
        <v>278</v>
      </c>
    </row>
    <row r="50" spans="1:3" ht="45" customHeight="1" x14ac:dyDescent="0.2">
      <c r="A50" s="52" t="s">
        <v>139</v>
      </c>
      <c r="B50" s="53" t="s">
        <v>140</v>
      </c>
      <c r="C50" s="32" t="s">
        <v>141</v>
      </c>
    </row>
    <row r="51" spans="1:3" ht="38.25" x14ac:dyDescent="0.2">
      <c r="A51" s="52" t="s">
        <v>142</v>
      </c>
      <c r="B51" s="86" t="s">
        <v>317</v>
      </c>
      <c r="C51" s="32" t="s">
        <v>318</v>
      </c>
    </row>
    <row r="52" spans="1:3" ht="36" customHeight="1" x14ac:dyDescent="0.2">
      <c r="A52" s="52" t="s">
        <v>143</v>
      </c>
      <c r="B52" s="53" t="s">
        <v>144</v>
      </c>
      <c r="C52" s="32" t="s">
        <v>145</v>
      </c>
    </row>
    <row r="53" spans="1:3" ht="25.5" x14ac:dyDescent="0.2">
      <c r="A53" s="52" t="s">
        <v>146</v>
      </c>
      <c r="B53" s="53" t="s">
        <v>147</v>
      </c>
      <c r="C53" s="32" t="s">
        <v>148</v>
      </c>
    </row>
    <row r="54" spans="1:3" ht="25.5" x14ac:dyDescent="0.2">
      <c r="A54" s="52" t="s">
        <v>149</v>
      </c>
      <c r="B54" s="86" t="s">
        <v>319</v>
      </c>
      <c r="C54" s="32" t="s">
        <v>150</v>
      </c>
    </row>
    <row r="55" spans="1:3" x14ac:dyDescent="0.2">
      <c r="A55" s="52" t="s">
        <v>151</v>
      </c>
      <c r="B55" s="53" t="s">
        <v>152</v>
      </c>
      <c r="C55" s="49" t="s">
        <v>153</v>
      </c>
    </row>
    <row r="56" spans="1:3" x14ac:dyDescent="0.2">
      <c r="A56" s="52" t="s">
        <v>154</v>
      </c>
      <c r="B56" s="53" t="s">
        <v>155</v>
      </c>
      <c r="C56" s="49" t="s">
        <v>156</v>
      </c>
    </row>
    <row r="57" spans="1:3" ht="25.5" x14ac:dyDescent="0.2">
      <c r="A57" s="52" t="s">
        <v>157</v>
      </c>
      <c r="B57" s="53" t="s">
        <v>158</v>
      </c>
      <c r="C57" s="32" t="s">
        <v>159</v>
      </c>
    </row>
    <row r="58" spans="1:3" ht="25.5" x14ac:dyDescent="0.2">
      <c r="A58" s="52" t="s">
        <v>160</v>
      </c>
      <c r="B58" s="53" t="s">
        <v>161</v>
      </c>
      <c r="C58" s="32" t="s">
        <v>162</v>
      </c>
    </row>
    <row r="59" spans="1:3" ht="25.5" x14ac:dyDescent="0.2">
      <c r="A59" s="52" t="s">
        <v>163</v>
      </c>
      <c r="B59" s="53" t="s">
        <v>164</v>
      </c>
      <c r="C59" s="32" t="s">
        <v>165</v>
      </c>
    </row>
    <row r="60" spans="1:3" ht="25.5" x14ac:dyDescent="0.2">
      <c r="A60" s="52" t="s">
        <v>166</v>
      </c>
      <c r="B60" s="53" t="s">
        <v>167</v>
      </c>
      <c r="C60" s="32" t="s">
        <v>168</v>
      </c>
    </row>
    <row r="61" spans="1:3" ht="25.5" x14ac:dyDescent="0.2">
      <c r="A61" s="52" t="s">
        <v>169</v>
      </c>
      <c r="B61" s="53" t="s">
        <v>170</v>
      </c>
      <c r="C61" s="32" t="s">
        <v>320</v>
      </c>
    </row>
    <row r="62" spans="1:3" ht="38.25" x14ac:dyDescent="0.2">
      <c r="A62" s="52" t="s">
        <v>171</v>
      </c>
      <c r="B62" s="53" t="s">
        <v>172</v>
      </c>
      <c r="C62" s="32" t="s">
        <v>173</v>
      </c>
    </row>
    <row r="63" spans="1:3" ht="25.5" x14ac:dyDescent="0.2">
      <c r="A63" s="52" t="s">
        <v>174</v>
      </c>
      <c r="B63" s="53" t="s">
        <v>175</v>
      </c>
      <c r="C63" s="32" t="s">
        <v>176</v>
      </c>
    </row>
    <row r="64" spans="1:3" ht="25.5" x14ac:dyDescent="0.2">
      <c r="A64" s="52" t="s">
        <v>177</v>
      </c>
      <c r="B64" s="53" t="s">
        <v>178</v>
      </c>
      <c r="C64" s="32" t="s">
        <v>179</v>
      </c>
    </row>
    <row r="65" spans="1:3" ht="38.25" x14ac:dyDescent="0.2">
      <c r="A65" s="52" t="s">
        <v>180</v>
      </c>
      <c r="B65" s="86" t="s">
        <v>321</v>
      </c>
      <c r="C65" s="32" t="s">
        <v>181</v>
      </c>
    </row>
    <row r="66" spans="1:3" ht="25.5" x14ac:dyDescent="0.2">
      <c r="A66" s="52" t="s">
        <v>182</v>
      </c>
      <c r="B66" s="53" t="s">
        <v>183</v>
      </c>
      <c r="C66" s="32" t="s">
        <v>184</v>
      </c>
    </row>
    <row r="67" spans="1:3" ht="38.25" x14ac:dyDescent="0.2">
      <c r="A67" s="52" t="s">
        <v>185</v>
      </c>
      <c r="B67" s="53" t="s">
        <v>186</v>
      </c>
      <c r="C67" s="32" t="s">
        <v>187</v>
      </c>
    </row>
    <row r="68" spans="1:3" ht="76.5" x14ac:dyDescent="0.2">
      <c r="A68" s="52" t="s">
        <v>188</v>
      </c>
      <c r="B68" s="53" t="s">
        <v>189</v>
      </c>
      <c r="C68" s="32" t="s">
        <v>279</v>
      </c>
    </row>
    <row r="69" spans="1:3" ht="51" x14ac:dyDescent="0.2">
      <c r="A69" s="52" t="s">
        <v>351</v>
      </c>
      <c r="B69" s="90" t="s">
        <v>357</v>
      </c>
      <c r="C69" s="32" t="s">
        <v>356</v>
      </c>
    </row>
    <row r="70" spans="1:3" ht="38.25" x14ac:dyDescent="0.2">
      <c r="A70" s="52" t="s">
        <v>352</v>
      </c>
      <c r="B70" s="53" t="s">
        <v>354</v>
      </c>
      <c r="C70" s="32" t="s">
        <v>355</v>
      </c>
    </row>
    <row r="71" spans="1:3" ht="51" x14ac:dyDescent="0.2">
      <c r="A71" s="52" t="s">
        <v>341</v>
      </c>
      <c r="B71" s="53" t="s">
        <v>344</v>
      </c>
      <c r="C71" s="32" t="s">
        <v>345</v>
      </c>
    </row>
    <row r="72" spans="1:3" ht="38.25" x14ac:dyDescent="0.2">
      <c r="A72" s="52" t="s">
        <v>342</v>
      </c>
      <c r="B72" s="53" t="s">
        <v>346</v>
      </c>
      <c r="C72" s="32" t="s">
        <v>347</v>
      </c>
    </row>
    <row r="73" spans="1:3" ht="51" x14ac:dyDescent="0.2">
      <c r="A73" s="52" t="s">
        <v>343</v>
      </c>
      <c r="B73" s="53" t="s">
        <v>348</v>
      </c>
      <c r="C73" s="32" t="s">
        <v>349</v>
      </c>
    </row>
    <row r="74" spans="1:3" ht="38.25" x14ac:dyDescent="0.2">
      <c r="A74" s="52" t="s">
        <v>309</v>
      </c>
      <c r="B74" s="86" t="s">
        <v>310</v>
      </c>
      <c r="C74" s="32" t="s">
        <v>311</v>
      </c>
    </row>
    <row r="75" spans="1:3" x14ac:dyDescent="0.2">
      <c r="A75" s="52" t="s">
        <v>350</v>
      </c>
      <c r="B75" s="53" t="s">
        <v>103</v>
      </c>
      <c r="C75" s="50" t="s">
        <v>314</v>
      </c>
    </row>
    <row r="76" spans="1:3" x14ac:dyDescent="0.2">
      <c r="A76" s="387" t="s">
        <v>378</v>
      </c>
      <c r="B76" s="388"/>
      <c r="C76" s="388"/>
    </row>
    <row r="77" spans="1:3" x14ac:dyDescent="0.2">
      <c r="A77" s="54"/>
      <c r="B77" s="54"/>
      <c r="C77" s="54"/>
    </row>
    <row r="78" spans="1:3" x14ac:dyDescent="0.2">
      <c r="A78" s="54"/>
      <c r="B78" s="54"/>
      <c r="C78" s="54"/>
    </row>
    <row r="79" spans="1:3" x14ac:dyDescent="0.2">
      <c r="A79" s="54"/>
      <c r="B79" s="54"/>
      <c r="C79" s="54"/>
    </row>
    <row r="80" spans="1:3" x14ac:dyDescent="0.2">
      <c r="A80" s="54"/>
      <c r="B80" s="54"/>
      <c r="C80" s="54"/>
    </row>
    <row r="81" spans="1:3" x14ac:dyDescent="0.2">
      <c r="A81" s="54"/>
      <c r="B81" s="54"/>
      <c r="C81" s="54"/>
    </row>
    <row r="82" spans="1:3" x14ac:dyDescent="0.2">
      <c r="A82" s="54"/>
      <c r="B82" s="54"/>
      <c r="C82" s="54"/>
    </row>
    <row r="83" spans="1:3" x14ac:dyDescent="0.2">
      <c r="A83" s="54"/>
      <c r="B83" s="54"/>
      <c r="C83" s="54"/>
    </row>
    <row r="84" spans="1:3" x14ac:dyDescent="0.2">
      <c r="A84" s="54"/>
      <c r="B84" s="54"/>
      <c r="C84" s="54"/>
    </row>
    <row r="85" spans="1:3" x14ac:dyDescent="0.2">
      <c r="A85" s="54"/>
      <c r="B85" s="54"/>
      <c r="C85" s="54"/>
    </row>
    <row r="86" spans="1:3" x14ac:dyDescent="0.2">
      <c r="A86" s="54"/>
      <c r="B86" s="54"/>
      <c r="C86" s="54"/>
    </row>
  </sheetData>
  <sheetProtection algorithmName="SHA-512" hashValue="jQJsx8V6aDTpVmPtsf1019xm+MyQ19VkDHXcKXtSQuxcEthXcHMRZ+88/dH2VVL5D9lRg1hxcEWRdjpRgiYMXg==" saltValue="FcXsEmIAFeZSqDwnv3784A==" spinCount="100000" sheet="1" selectLockedCells="1" selectUnlockedCells="1"/>
  <mergeCells count="27">
    <mergeCell ref="A13:B13"/>
    <mergeCell ref="A1:C1"/>
    <mergeCell ref="A5:B5"/>
    <mergeCell ref="A7:B7"/>
    <mergeCell ref="A10:B10"/>
    <mergeCell ref="A3:B3"/>
    <mergeCell ref="A4:B4"/>
    <mergeCell ref="A6:B6"/>
    <mergeCell ref="A8:B8"/>
    <mergeCell ref="A9:B9"/>
    <mergeCell ref="A2:C2"/>
    <mergeCell ref="A11:B11"/>
    <mergeCell ref="A12:B12"/>
    <mergeCell ref="A25:C25"/>
    <mergeCell ref="A35:C35"/>
    <mergeCell ref="A24:B24"/>
    <mergeCell ref="A18:B18"/>
    <mergeCell ref="A76:C76"/>
    <mergeCell ref="A23:B23"/>
    <mergeCell ref="A14:B14"/>
    <mergeCell ref="A19:B19"/>
    <mergeCell ref="A21:B21"/>
    <mergeCell ref="A15:B15"/>
    <mergeCell ref="A22:B22"/>
    <mergeCell ref="A20:B20"/>
    <mergeCell ref="A16:B16"/>
    <mergeCell ref="A17:B17"/>
  </mergeCells>
  <phoneticPr fontId="0" type="noConversion"/>
  <pageMargins left="0.75" right="0.75" top="1" bottom="1" header="0.5" footer="0.5"/>
  <pageSetup scale="32" orientation="portrait" horizontalDpi="4294967292" r:id="rId1"/>
  <headerFooter alignWithMargins="0"/>
  <rowBreaks count="1" manualBreakCount="1">
    <brk id="15" max="2" man="1"/>
  </rowBreaks>
  <legacyDrawingHF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92BFE26D0BA54ABBEE36C4D2E05585" ma:contentTypeVersion="12" ma:contentTypeDescription="Create a new document." ma:contentTypeScope="" ma:versionID="48a99923d313872d646224132b4ce60a">
  <xsd:schema xmlns:xsd="http://www.w3.org/2001/XMLSchema" xmlns:xs="http://www.w3.org/2001/XMLSchema" xmlns:p="http://schemas.microsoft.com/office/2006/metadata/properties" xmlns:ns2="f9e515e9-6a52-44db-826a-ae9f46091af2" xmlns:ns3="e5b49feb-88bd-4209-98d5-8396f3006244" targetNamespace="http://schemas.microsoft.com/office/2006/metadata/properties" ma:root="true" ma:fieldsID="294fe131b40d3bdca78063de4934dfe3" ns2:_="" ns3:_="">
    <xsd:import namespace="f9e515e9-6a52-44db-826a-ae9f46091af2"/>
    <xsd:import namespace="e5b49feb-88bd-4209-98d5-8396f300624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9e515e9-6a52-44db-826a-ae9f46091af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5b49feb-88bd-4209-98d5-8396f300624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E30AE8A-68A2-459C-A246-381ED1F0B7EF}"/>
</file>

<file path=customXml/itemProps2.xml><?xml version="1.0" encoding="utf-8"?>
<ds:datastoreItem xmlns:ds="http://schemas.openxmlformats.org/officeDocument/2006/customXml" ds:itemID="{4E17536C-6069-4538-8A42-782AC49A6642}"/>
</file>

<file path=customXml/itemProps3.xml><?xml version="1.0" encoding="utf-8"?>
<ds:datastoreItem xmlns:ds="http://schemas.openxmlformats.org/officeDocument/2006/customXml" ds:itemID="{5C540026-11D8-446B-ACD0-5A6777EB881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9</vt:i4>
      </vt:variant>
    </vt:vector>
  </HeadingPairs>
  <TitlesOfParts>
    <vt:vector size="16" baseType="lpstr">
      <vt:lpstr>Cover Sheet</vt:lpstr>
      <vt:lpstr>Test Plan &amp; Results Summary</vt:lpstr>
      <vt:lpstr>Decision table</vt:lpstr>
      <vt:lpstr>SystemTest Plan &amp; Test Results</vt:lpstr>
      <vt:lpstr>Bug Report</vt:lpstr>
      <vt:lpstr>Annexure for STP &amp; TR</vt:lpstr>
      <vt:lpstr> Annexure for Bug Report</vt:lpstr>
      <vt:lpstr>'SystemTest Plan &amp; Test Results'!_Toc37752622</vt:lpstr>
      <vt:lpstr>'SystemTest Plan &amp; Test Results'!_Toc37752626</vt:lpstr>
      <vt:lpstr>'SystemTest Plan &amp; Test Results'!_Toc37752628</vt:lpstr>
      <vt:lpstr>'SystemTest Plan &amp; Test Results'!_Toc56668862</vt:lpstr>
      <vt:lpstr>' Annexure for Bug Report'!Print_Area</vt:lpstr>
      <vt:lpstr>'Annexure for STP &amp; TR'!Print_Area</vt:lpstr>
      <vt:lpstr>'Bug Report'!Print_Area</vt:lpstr>
      <vt:lpstr>'Cover Sheet'!Print_Area</vt:lpstr>
      <vt:lpstr>'Decision table'!Print_Area</vt:lpstr>
    </vt:vector>
  </TitlesOfParts>
  <Company>Larsen &amp; Toubro Limited, Mysore Works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System Test Plan &amp; TR</dc:title>
  <dc:subject>Verification</dc:subject>
  <dc:creator>SQA</dc:creator>
  <cp:lastModifiedBy>Harshith H K</cp:lastModifiedBy>
  <cp:lastPrinted>2003-01-03T08:51:57Z</cp:lastPrinted>
  <dcterms:created xsi:type="dcterms:W3CDTF">2002-02-01T03:36:58Z</dcterms:created>
  <dcterms:modified xsi:type="dcterms:W3CDTF">2020-12-07T10:47:08Z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0x010100AF92BFE26D0BA54ABBEE36C4D2E05585</vt:lpwstr>
  </property>
</Properties>
</file>